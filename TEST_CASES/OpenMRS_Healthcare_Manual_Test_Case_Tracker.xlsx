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onJrTan\Downloads\"/>
    </mc:Choice>
  </mc:AlternateContent>
  <xr:revisionPtr revIDLastSave="0" documentId="11_866A11E594AAACF6EC3FDAC893A5213E9583F899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README" sheetId="1" r:id="rId1"/>
    <sheet name="Summary" sheetId="2" r:id="rId2"/>
    <sheet name="10_Authentication" sheetId="3" r:id="rId3"/>
    <sheet name="20_Patient_Registration" sheetId="4" r:id="rId4"/>
    <sheet name="30_Patient_Search" sheetId="5" r:id="rId5"/>
    <sheet name="40_Patient_Dashboard" sheetId="6" r:id="rId6"/>
    <sheet name="50_Visit_Management" sheetId="7" r:id="rId7"/>
    <sheet name="60_Vitals_Clinical_Notes" sheetId="8" r:id="rId8"/>
    <sheet name="70_Data_Validation" sheetId="9" r:id="rId9"/>
    <sheet name="80_Security_Access" sheetId="10" r:id="rId10"/>
    <sheet name="90_Admin_Reporting" sheetId="11" r:id="rId11"/>
    <sheet name="100_Usability_Error_Handling" sheetId="12" r:id="rId12"/>
    <sheet name="110_E2E" sheetId="13" r:id="rId13"/>
  </sheets>
  <definedNames>
    <definedName name="_xlnm._FilterDatabase" localSheetId="2" hidden="1">'10_Authentication'!$A$2:$L$8</definedName>
    <definedName name="_xlnm._FilterDatabase" localSheetId="11" hidden="1">'100_Usability_Error_Handling'!$A$2:$L$6</definedName>
    <definedName name="_xlnm._FilterDatabase" localSheetId="12" hidden="1">'110_E2E'!$A$2:$L$6</definedName>
    <definedName name="_xlnm._FilterDatabase" localSheetId="3" hidden="1">'20_Patient_Registration'!$A$2:$L$9</definedName>
    <definedName name="_xlnm._FilterDatabase" localSheetId="4" hidden="1">'30_Patient_Search'!$A$2:$L$8</definedName>
    <definedName name="_xlnm._FilterDatabase" localSheetId="5" hidden="1">'40_Patient_Dashboard'!$A$2:$L$7</definedName>
    <definedName name="_xlnm._FilterDatabase" localSheetId="6" hidden="1">'50_Visit_Management'!$A$2:$L$8</definedName>
    <definedName name="_xlnm._FilterDatabase" localSheetId="7" hidden="1">'60_Vitals_Clinical_Notes'!$A$2:$L$8</definedName>
    <definedName name="_xlnm._FilterDatabase" localSheetId="8" hidden="1">'70_Data_Validation'!$A$2:$L$7</definedName>
    <definedName name="_xlnm._FilterDatabase" localSheetId="9" hidden="1">'80_Security_Access'!$A$2:$L$8</definedName>
    <definedName name="_xlnm._FilterDatabase" localSheetId="10" hidden="1">'90_Admin_Reporting'!$A$2:$L$7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B29" i="2"/>
  <c r="B28" i="2"/>
  <c r="E28" i="2" s="1"/>
  <c r="B27" i="2"/>
  <c r="E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F23" i="2" s="1"/>
  <c r="E12" i="2"/>
  <c r="D12" i="2"/>
  <c r="D23" i="2" s="1"/>
  <c r="C12" i="2"/>
  <c r="C23" i="2" s="1"/>
  <c r="E27" i="2" s="1"/>
  <c r="E29" i="2" s="1"/>
  <c r="E31" i="2" l="1"/>
  <c r="E30" i="2"/>
</calcChain>
</file>

<file path=xl/sharedStrings.xml><?xml version="1.0" encoding="utf-8"?>
<sst xmlns="http://schemas.openxmlformats.org/spreadsheetml/2006/main" count="951" uniqueCount="510">
  <si>
    <t>OpenMRS Healthcare — QA Manual Test Pack</t>
  </si>
  <si>
    <t>Purpose</t>
  </si>
  <si>
    <t>Provide reusable sample manual test cases across healthcare/EMR workflows in OpenMRS, including authentication, patient registration, search, dashboard review, visits, vitals, clinical notes, security, admin workflows, usability, and end-to-end flows.</t>
  </si>
  <si>
    <t>How to use</t>
  </si>
  <si>
    <t>Open each module sheet and update Status and Notes during execution. Summary KPIs and module counts refresh automatically.</t>
  </si>
  <si>
    <t>Important note</t>
  </si>
  <si>
    <t>These are sample QA scenarios for portfolio use and should be tailored to the exact OpenMRS build, role configuration, location setup, and enabled forms/apps in your target environment.</t>
  </si>
  <si>
    <t>Default status</t>
  </si>
  <si>
    <t>Not Run</t>
  </si>
  <si>
    <t>Default priority</t>
  </si>
  <si>
    <t>High</t>
  </si>
  <si>
    <t>Primary domain</t>
  </si>
  <si>
    <t>Healthcare / EMR QA</t>
  </si>
  <si>
    <t>Demo credentials</t>
  </si>
  <si>
    <t>Location: Any | Username: admin | Password: Admin123</t>
  </si>
  <si>
    <t>Official reference sources</t>
  </si>
  <si>
    <t>Source Name</t>
  </si>
  <si>
    <t>URL</t>
  </si>
  <si>
    <t>Use in this workbook</t>
  </si>
  <si>
    <t>OpenMRS Demo</t>
  </si>
  <si>
    <t>https://openmrs.org/demo/</t>
  </si>
  <si>
    <t>Demo access, credentials, and environment entry point</t>
  </si>
  <si>
    <t>OpenMRS Download</t>
  </si>
  <si>
    <t>https://openmrs.org/download/</t>
  </si>
  <si>
    <t>Reference context for demo/standalone usage</t>
  </si>
  <si>
    <t>Reference Application 2.10.0</t>
  </si>
  <si>
    <t>https://wiki.openmrs.org/display/docs/Reference%2BApplication%2B2.10.0</t>
  </si>
  <si>
    <t>Role-based home page and app/role behavior</t>
  </si>
  <si>
    <t>OpenMRS Standalone</t>
  </si>
  <si>
    <t>https://wiki.openmrs.org/display/docs/OpenMRS%2BStandalone</t>
  </si>
  <si>
    <t>Default login context for standalone/reference application</t>
  </si>
  <si>
    <t>OpenMRS Healthcare - Manual Test Case Tracker</t>
  </si>
  <si>
    <t>Manual QA test suite for OpenMRS healthcare workflows using the same multi-tab execution-tracker structure as your prior portfolio trackers.</t>
  </si>
  <si>
    <t>Workbook Controls</t>
  </si>
  <si>
    <t>Default Status</t>
  </si>
  <si>
    <t>Default Priority</t>
  </si>
  <si>
    <t>Portfolio Owner</t>
  </si>
  <si>
    <t>TBD</t>
  </si>
  <si>
    <t>Primary Domain</t>
  </si>
  <si>
    <t>Module Coverage</t>
  </si>
  <si>
    <t>Module</t>
  </si>
  <si>
    <t>Sheet Name</t>
  </si>
  <si>
    <t>Total Cases</t>
  </si>
  <si>
    <t>High Priority</t>
  </si>
  <si>
    <t>Negative Cases</t>
  </si>
  <si>
    <t>Automation Candidates</t>
  </si>
  <si>
    <t>Authentication</t>
  </si>
  <si>
    <t>10_Authentication</t>
  </si>
  <si>
    <t>Patient Registration</t>
  </si>
  <si>
    <t>20_Patient_Registration</t>
  </si>
  <si>
    <t>Patient Search</t>
  </si>
  <si>
    <t>30_Patient_Search</t>
  </si>
  <si>
    <t>Patient Dashboard</t>
  </si>
  <si>
    <t>40_Patient_Dashboard</t>
  </si>
  <si>
    <t>Visit Management</t>
  </si>
  <si>
    <t>50_Visit_Management</t>
  </si>
  <si>
    <t>Vitals &amp; Clinical Notes</t>
  </si>
  <si>
    <t>60_Vitals_Clinical_Notes</t>
  </si>
  <si>
    <t>Data Validation</t>
  </si>
  <si>
    <t>70_Data_Validation</t>
  </si>
  <si>
    <t>Security &amp; Access</t>
  </si>
  <si>
    <t>80_Security_Access</t>
  </si>
  <si>
    <t>Admin &amp; Reporting</t>
  </si>
  <si>
    <t>90_Admin_Reporting</t>
  </si>
  <si>
    <t>Usability &amp; Error Handling</t>
  </si>
  <si>
    <t>100_Usability_Error_Handling</t>
  </si>
  <si>
    <t>End-to-End</t>
  </si>
  <si>
    <t>110_E2E</t>
  </si>
  <si>
    <t>Total</t>
  </si>
  <si>
    <t>Execution Status</t>
  </si>
  <si>
    <t>Status</t>
  </si>
  <si>
    <t>Count</t>
  </si>
  <si>
    <t>Metric</t>
  </si>
  <si>
    <t>Value</t>
  </si>
  <si>
    <t>Total Test Cases</t>
  </si>
  <si>
    <t>Pass</t>
  </si>
  <si>
    <t>Executed Cases</t>
  </si>
  <si>
    <t>Fail</t>
  </si>
  <si>
    <t>Execution %</t>
  </si>
  <si>
    <t>Blocked</t>
  </si>
  <si>
    <t>Pass Rate</t>
  </si>
  <si>
    <t/>
  </si>
  <si>
    <t>Fail Rate</t>
  </si>
  <si>
    <t>Update the Status and Notes columns during execution. Summary KPIs and counts refresh automatically.</t>
  </si>
  <si>
    <t>TC_ID</t>
  </si>
  <si>
    <t>Scenario</t>
  </si>
  <si>
    <t>Preconditions</t>
  </si>
  <si>
    <t>Steps</t>
  </si>
  <si>
    <t>Test Data</t>
  </si>
  <si>
    <t>Expected Result</t>
  </si>
  <si>
    <t>Priority</t>
  </si>
  <si>
    <t>Type</t>
  </si>
  <si>
    <t>Automation Candidate</t>
  </si>
  <si>
    <t>Notes</t>
  </si>
  <si>
    <t>AUTH-001</t>
  </si>
  <si>
    <t>Valid admin login succeeds with correct credentials and location selected</t>
  </si>
  <si>
    <t>User is on OpenMRS demo login page</t>
  </si>
  <si>
    <t>1. Select location
2. Enter valid admin credentials
3. Click Log In</t>
  </si>
  <si>
    <t>Location = Any; Username = admin; Password = Admin123</t>
  </si>
  <si>
    <t>User is authenticated successfully and home page/dashboard loads</t>
  </si>
  <si>
    <t>Critical</t>
  </si>
  <si>
    <t>Positive</t>
  </si>
  <si>
    <t>Yes</t>
  </si>
  <si>
    <t>Core login path</t>
  </si>
  <si>
    <t>AUTH-002</t>
  </si>
  <si>
    <t>Invalid password is rejected</t>
  </si>
  <si>
    <t>A valid username exists</t>
  </si>
  <si>
    <t>1. Select location
2. Enter valid username and invalid password
3. Click Log In</t>
  </si>
  <si>
    <t>Username = admin; invalid password</t>
  </si>
  <si>
    <t>System blocks login and shows authentication error without granting access</t>
  </si>
  <si>
    <t>Negative</t>
  </si>
  <si>
    <t>Auth validation</t>
  </si>
  <si>
    <t>AUTH-003</t>
  </si>
  <si>
    <t>Login is blocked when location is not selected</t>
  </si>
  <si>
    <t>User is on login page</t>
  </si>
  <si>
    <t>1. Leave location unselected
2. Enter valid credentials
3. Click Log In</t>
  </si>
  <si>
    <t>Valid username/password</t>
  </si>
  <si>
    <t>System requires a login location before session creation</t>
  </si>
  <si>
    <t>Location requirement</t>
  </si>
  <si>
    <t>AUTH-004</t>
  </si>
  <si>
    <t>Logout ends active session and returns user to login page</t>
  </si>
  <si>
    <t>User is logged in</t>
  </si>
  <si>
    <t>1. Click logout/sign out
2. Observe landing page</t>
  </si>
  <si>
    <t>Active authenticated session</t>
  </si>
  <si>
    <t>System signs the user out and returns to login page</t>
  </si>
  <si>
    <t>Session termination</t>
  </si>
  <si>
    <t>AUTH-005</t>
  </si>
  <si>
    <t>Back button after logout does not reopen authenticated pages</t>
  </si>
  <si>
    <t>User has logged out successfully</t>
  </si>
  <si>
    <t>1. Log out
2. Click browser Back button</t>
  </si>
  <si>
    <t>Logged-out browser session</t>
  </si>
  <si>
    <t>Protected pages are not accessible without re-authentication</t>
  </si>
  <si>
    <t>Security</t>
  </si>
  <si>
    <t>Post-logout protection</t>
  </si>
  <si>
    <t>AUTH-006</t>
  </si>
  <si>
    <t>Empty username and password fields are validated</t>
  </si>
  <si>
    <t>1. Leave username and password blank
2. Click Log In</t>
  </si>
  <si>
    <t>Blank credentials</t>
  </si>
  <si>
    <t>System blocks submission or returns clear validation/authentication error</t>
  </si>
  <si>
    <t>Medium</t>
  </si>
  <si>
    <t>Required fields</t>
  </si>
  <si>
    <t>REG-001</t>
  </si>
  <si>
    <t>Register a new patient with valid mandatory demographics</t>
  </si>
  <si>
    <t>User is logged in with registration access</t>
  </si>
  <si>
    <t>1. Open Register Patient
2. Enter valid demographics
3. Complete address and identifiers
4. Submit</t>
  </si>
  <si>
    <t>Unique patient name, DOB, gender, address</t>
  </si>
  <si>
    <t>Patient record is created successfully with unique identifier</t>
  </si>
  <si>
    <t>Core registration</t>
  </si>
  <si>
    <t>REG-002</t>
  </si>
  <si>
    <t>Missing mandatory registration field is blocked</t>
  </si>
  <si>
    <t>Registration workflow is open</t>
  </si>
  <si>
    <t>1. Leave one or more required fields blank
2. Proceed to next step or submit</t>
  </si>
  <si>
    <t>Blank mandatory field(s)</t>
  </si>
  <si>
    <t>System prevents completion and highlights required field(s)</t>
  </si>
  <si>
    <t>Field validation</t>
  </si>
  <si>
    <t>REG-003</t>
  </si>
  <si>
    <t>Invalid date of birth or impossible age is rejected</t>
  </si>
  <si>
    <t>1. Enter future DOB or impossible age
2. Continue workflow</t>
  </si>
  <si>
    <t>Future or invalid DOB</t>
  </si>
  <si>
    <t>System rejects invalid DOB/age combination and requests correction</t>
  </si>
  <si>
    <t>DOB validation</t>
  </si>
  <si>
    <t>REG-004</t>
  </si>
  <si>
    <t>Special characters in non-name fields are handled safely</t>
  </si>
  <si>
    <t>1. Enter special characters in address/notes where allowed
2. Submit</t>
  </si>
  <si>
    <t>Address with punctuation and symbols</t>
  </si>
  <si>
    <t>Allowed characters are saved correctly without breaking the form</t>
  </si>
  <si>
    <t>Regression</t>
  </si>
  <si>
    <t>Later</t>
  </si>
  <si>
    <t>Input handling</t>
  </si>
  <si>
    <t>REG-005</t>
  </si>
  <si>
    <t>Potential duplicate patient is flagged during registration</t>
  </si>
  <si>
    <t>A similar patient already exists in demo data</t>
  </si>
  <si>
    <t>1. Start new registration
2. Enter demographics matching an existing patient
3. Continue</t>
  </si>
  <si>
    <t>Name/DOB/gender matching existing patient</t>
  </si>
  <si>
    <t>System displays duplicate/similar patient warning before final creation</t>
  </si>
  <si>
    <t>Duplicate prevention</t>
  </si>
  <si>
    <t>REG-006</t>
  </si>
  <si>
    <t>Patient registration can be cancelled before final submit</t>
  </si>
  <si>
    <t>1. Enter partial patient data
2. Cancel registration</t>
  </si>
  <si>
    <t>Partial demographics</t>
  </si>
  <si>
    <t>Workflow exits cleanly and incomplete patient is not created</t>
  </si>
  <si>
    <t>Cancel flow</t>
  </si>
  <si>
    <t>REG-007</t>
  </si>
  <si>
    <t>Generated patient identifier is unique and visible after save</t>
  </si>
  <si>
    <t>Patient is registered successfully</t>
  </si>
  <si>
    <t>1. Register patient
2. Open patient dashboard/summary</t>
  </si>
  <si>
    <t>Newly created patient</t>
  </si>
  <si>
    <t>System displays a unique patient identifier and links it to the new record</t>
  </si>
  <si>
    <t>Identifier creation</t>
  </si>
  <si>
    <t>SEA-001</t>
  </si>
  <si>
    <t>Search by full patient name returns expected record</t>
  </si>
  <si>
    <t>At least one known patient exists</t>
  </si>
  <si>
    <t>1. Open Find Patient Record
2. Search by full name</t>
  </si>
  <si>
    <t>Known full patient name</t>
  </si>
  <si>
    <t>Matching patient record appears in search results</t>
  </si>
  <si>
    <t>Name search</t>
  </si>
  <si>
    <t>SEA-002</t>
  </si>
  <si>
    <t>Search by patient identifier returns exact patient record</t>
  </si>
  <si>
    <t>A known patient identifier exists</t>
  </si>
  <si>
    <t>1. Open Find Patient Record
2. Search by patient ID</t>
  </si>
  <si>
    <t>Known patient ID</t>
  </si>
  <si>
    <t>Exact patient record is returned with no ambiguity</t>
  </si>
  <si>
    <t>ID search</t>
  </si>
  <si>
    <t>SEA-003</t>
  </si>
  <si>
    <t>Partial search returns relevant matching patients</t>
  </si>
  <si>
    <t>Known patients exist with common prefix/surname</t>
  </si>
  <si>
    <t>1. Search by partial name
2. Review results</t>
  </si>
  <si>
    <t>Partial text input</t>
  </si>
  <si>
    <t>System returns relevant matching records without crash or empty misfire</t>
  </si>
  <si>
    <t>Partial search</t>
  </si>
  <si>
    <t>SEA-004</t>
  </si>
  <si>
    <t>Search with no matching criteria returns clear no-results message</t>
  </si>
  <si>
    <t>User is on search page</t>
  </si>
  <si>
    <t>1. Search using non-existent patient data</t>
  </si>
  <si>
    <t>Non-existent name or ID</t>
  </si>
  <si>
    <t>System returns a clear no-results message and no incorrect record</t>
  </si>
  <si>
    <t>No result handling</t>
  </si>
  <si>
    <t>SEA-005</t>
  </si>
  <si>
    <t>Search results distinguish patients with similar names</t>
  </si>
  <si>
    <t>Multiple patients with similar demographics exist</t>
  </si>
  <si>
    <t>1. Search by common name
2. Review columns shown in results</t>
  </si>
  <si>
    <t>Common surname / similar DOBs</t>
  </si>
  <si>
    <t>Results provide enough identifying detail to distinguish similar patients</t>
  </si>
  <si>
    <t>Ambiguous identity handling</t>
  </si>
  <si>
    <t>SEA-006</t>
  </si>
  <si>
    <t>Search trims leading/trailing spaces in user input</t>
  </si>
  <si>
    <t>1. Enter valid search text with extra spaces
2. Execute search</t>
  </si>
  <si>
    <t>Name or ID with spaces</t>
  </si>
  <si>
    <t>System ignores non-meaningful spaces and returns expected results</t>
  </si>
  <si>
    <t>Usability</t>
  </si>
  <si>
    <t>Input normalization</t>
  </si>
  <si>
    <t>DSH-001</t>
  </si>
  <si>
    <t>Opening a patient record loads dashboard without errors</t>
  </si>
  <si>
    <t>A patient record exists</t>
  </si>
  <si>
    <t>1. Search for patient
2. Open patient chart/dashboard</t>
  </si>
  <si>
    <t>Existing patient record</t>
  </si>
  <si>
    <t>Patient dashboard loads successfully with core summary panels visible</t>
  </si>
  <si>
    <t>Patient chart access</t>
  </si>
  <si>
    <t>DSH-002</t>
  </si>
  <si>
    <t>Demographic summary on dashboard matches registration data</t>
  </si>
  <si>
    <t>A patient has known demographic values</t>
  </si>
  <si>
    <t>1. Open patient dashboard
2. Compare displayed demographics to registration data</t>
  </si>
  <si>
    <t>Known patient demographics</t>
  </si>
  <si>
    <t>Name, gender, age/DOB, and identifier match stored patient data</t>
  </si>
  <si>
    <t>Demographic consistency</t>
  </si>
  <si>
    <t>DSH-003</t>
  </si>
  <si>
    <t>Active visit status is visible after visit start</t>
  </si>
  <si>
    <t>Patient has an active visit</t>
  </si>
  <si>
    <t>1. Start visit
2. Refresh/open dashboard</t>
  </si>
  <si>
    <t>Patient with started visit</t>
  </si>
  <si>
    <t>Dashboard indicates active/current visit correctly</t>
  </si>
  <si>
    <t>Visit visibility</t>
  </si>
  <si>
    <t>DSH-004</t>
  </si>
  <si>
    <t>Patient dashboard handles patient with limited history gracefully</t>
  </si>
  <si>
    <t>Patient has minimal or no prior clinical history</t>
  </si>
  <si>
    <t>1. Open patient dashboard</t>
  </si>
  <si>
    <t>Minimal-history patient</t>
  </si>
  <si>
    <t>Dashboard loads with empty-state messaging instead of layout break or error</t>
  </si>
  <si>
    <t>Empty-state handling</t>
  </si>
  <si>
    <t>DSH-005</t>
  </si>
  <si>
    <t>Recent visit history updates after new encounter is saved</t>
  </si>
  <si>
    <t>Patient has a new completed encounter</t>
  </si>
  <si>
    <t>1. Save encounter during visit
2. Return to dashboard</t>
  </si>
  <si>
    <t>New encounter data</t>
  </si>
  <si>
    <t>Recent visits/encounters section reflects the new activity</t>
  </si>
  <si>
    <t>Integration</t>
  </si>
  <si>
    <t>Dashboard refresh</t>
  </si>
  <si>
    <t>VIS-001</t>
  </si>
  <si>
    <t>Start Visit creates an active visit for selected patient</t>
  </si>
  <si>
    <t>Patient exists and has no active visit</t>
  </si>
  <si>
    <t>1. Open patient chart
2. Click Start Visit
3. Confirm action</t>
  </si>
  <si>
    <t>Valid patient</t>
  </si>
  <si>
    <t>Active visit is created successfully for the patient</t>
  </si>
  <si>
    <t>Visit start</t>
  </si>
  <si>
    <t>VIS-002</t>
  </si>
  <si>
    <t>Attempting duplicate concurrent visit is prevented or controlled</t>
  </si>
  <si>
    <t>Patient already has an active visit</t>
  </si>
  <si>
    <t>1. Try to start another visit for same patient</t>
  </si>
  <si>
    <t>Patient with active visit</t>
  </si>
  <si>
    <t>System prevents duplicate active visit or enforces configured behavior clearly</t>
  </si>
  <si>
    <t>Duplicate visit control</t>
  </si>
  <si>
    <t>VIS-003</t>
  </si>
  <si>
    <t>End Visit closes active visit successfully</t>
  </si>
  <si>
    <t>Patient has active visit</t>
  </si>
  <si>
    <t>1. Open active visit
2. End visit
3. Confirm state</t>
  </si>
  <si>
    <t>Open visit</t>
  </si>
  <si>
    <t>Visit status changes from active to ended/closed successfully</t>
  </si>
  <si>
    <t>Visit closure</t>
  </si>
  <si>
    <t>VIS-004</t>
  </si>
  <si>
    <t>Visit action buttons are available only during active visit</t>
  </si>
  <si>
    <t>Patient has no active visit</t>
  </si>
  <si>
    <t>1. Open patient chart
2. Review visit-specific actions</t>
  </si>
  <si>
    <t>Patient without active visit</t>
  </si>
  <si>
    <t>Visit-only actions are hidden, disabled, or guided appropriately when no visit is active</t>
  </si>
  <si>
    <t>State-based actions</t>
  </si>
  <si>
    <t>VIS-005</t>
  </si>
  <si>
    <t>Cancelled or interrupted visit workflow does not create partial duplicate records</t>
  </si>
  <si>
    <t>Patient chart is open</t>
  </si>
  <si>
    <t>1. Begin start-visit flow if applicable
2. Cancel or interrupt action
3. Re-check patient record</t>
  </si>
  <si>
    <t>Interrupted visit action</t>
  </si>
  <si>
    <t>No unintended duplicate or orphaned visit record is created</t>
  </si>
  <si>
    <t>Data safety</t>
  </si>
  <si>
    <t>VIS-006</t>
  </si>
  <si>
    <t>Visit appears in patient history after closure</t>
  </si>
  <si>
    <t>Patient visit has been ended</t>
  </si>
  <si>
    <t>1. End visit
2. Open dashboard/history</t>
  </si>
  <si>
    <t>Closed visit</t>
  </si>
  <si>
    <t>Closed visit is visible in patient history with correct date/time ordering</t>
  </si>
  <si>
    <t>History persistence</t>
  </si>
  <si>
    <t>CLN-001</t>
  </si>
  <si>
    <t>Capture vitals during active visit and save successfully</t>
  </si>
  <si>
    <t>1. Open vitals form
2. Enter valid vital signs
3. Save</t>
  </si>
  <si>
    <t>Valid BP, pulse, temperature, weight</t>
  </si>
  <si>
    <t>Vitals are saved successfully and associated with current visit</t>
  </si>
  <si>
    <t>Core clinical capture</t>
  </si>
  <si>
    <t>CLN-002</t>
  </si>
  <si>
    <t>Out-of-range vital values trigger validation or warning</t>
  </si>
  <si>
    <t>1. Enter impossible or extreme vital sign value
2. Save</t>
  </si>
  <si>
    <t>Impossible temperature or pulse</t>
  </si>
  <si>
    <t>System blocks save or warns clearly according to configuration</t>
  </si>
  <si>
    <t>Clinical range validation</t>
  </si>
  <si>
    <t>CLN-003</t>
  </si>
  <si>
    <t>Clinical note can be added and viewed in visit history</t>
  </si>
  <si>
    <t>1. Open notes/consultation form
2. Enter clinical note
3. Save</t>
  </si>
  <si>
    <t>Sample consultation note</t>
  </si>
  <si>
    <t>Clinical note is saved and retrievable from visit history/chart</t>
  </si>
  <si>
    <t>Clinical documentation</t>
  </si>
  <si>
    <t>CLN-004</t>
  </si>
  <si>
    <t>Required clinical fields are enforced before encounter save</t>
  </si>
  <si>
    <t>Encounter form with mandatory field exists</t>
  </si>
  <si>
    <t>1. Leave mandatory observation or note blank
2. Try to save</t>
  </si>
  <si>
    <t>Missing required field</t>
  </si>
  <si>
    <t>System prevents completion and highlights missing required field</t>
  </si>
  <si>
    <t>Required observations</t>
  </si>
  <si>
    <t>CLN-005</t>
  </si>
  <si>
    <t>Multiple observations saved in one encounter remain linked to same visit</t>
  </si>
  <si>
    <t>1. Enter several observations
2. Save encounter
3. Review history</t>
  </si>
  <si>
    <t>Vitals + note data</t>
  </si>
  <si>
    <t>Saved observations belong to the same encounter/visit without duplication</t>
  </si>
  <si>
    <t>Encounter integrity</t>
  </si>
  <si>
    <t>CLN-006</t>
  </si>
  <si>
    <t>Editing or reopening chart after save shows persisted vitals correctly</t>
  </si>
  <si>
    <t>Vitals were saved earlier in visit</t>
  </si>
  <si>
    <t>1. Save vitals
2. Reopen chart/visit summary</t>
  </si>
  <si>
    <t>Previously saved vitals</t>
  </si>
  <si>
    <t>Previously saved vitals display correctly after page reload/navigation</t>
  </si>
  <si>
    <t>Persistence check</t>
  </si>
  <si>
    <t>DAT-001</t>
  </si>
  <si>
    <t>Newly registered patient can be searched and opened immediately</t>
  </si>
  <si>
    <t>A new patient was just created</t>
  </si>
  <si>
    <t>1. Register patient
2. Search using name or ID
3. Open chart</t>
  </si>
  <si>
    <t>Freshly created patient</t>
  </si>
  <si>
    <t>New patient appears in search and opens correctly without delay/data loss</t>
  </si>
  <si>
    <t>Registration-to-search</t>
  </si>
  <si>
    <t>DAT-002</t>
  </si>
  <si>
    <t>Edited demographic data persists correctly after save</t>
  </si>
  <si>
    <t>1. Edit allowed demographic field
2. Save
3. Refresh chart</t>
  </si>
  <si>
    <t>Updated address/phone or similar field</t>
  </si>
  <si>
    <t>Updated patient data is persisted and shown consistently after refresh</t>
  </si>
  <si>
    <t>Edit persistence</t>
  </si>
  <si>
    <t>DAT-003</t>
  </si>
  <si>
    <t>System prevents invalid character or malformed value in strict input fields</t>
  </si>
  <si>
    <t>Editable strict field is available</t>
  </si>
  <si>
    <t>1. Enter malformed value in strict field
2. Save</t>
  </si>
  <si>
    <t>Invalid numeric/text pattern</t>
  </si>
  <si>
    <t>System enforces validation and does not store malformed value</t>
  </si>
  <si>
    <t>Strict validation</t>
  </si>
  <si>
    <t>DAT-004</t>
  </si>
  <si>
    <t>Visit history ordering remains chronological after multiple visits</t>
  </si>
  <si>
    <t>Patient has multiple visits</t>
  </si>
  <si>
    <t>1. Review visit history after several encounters</t>
  </si>
  <si>
    <t>Patient with multiple visits</t>
  </si>
  <si>
    <t>Visit history is ordered correctly by date/time and reflects accurate sequence</t>
  </si>
  <si>
    <t>History ordering</t>
  </si>
  <si>
    <t>DAT-005</t>
  </si>
  <si>
    <t>Patient identifier remains unchanged when unrelated demographics are edited</t>
  </si>
  <si>
    <t>Patient record with stable identifier exists</t>
  </si>
  <si>
    <t>1. Update non-identifier demographics
2. Save
3. Recheck patient ID</t>
  </si>
  <si>
    <t>Patient identifier remains stable and no duplicate identity is created</t>
  </si>
  <si>
    <t>Identity integrity</t>
  </si>
  <si>
    <t>SEC-001</t>
  </si>
  <si>
    <t>Admin user can access registration and clinical workflow apps</t>
  </si>
  <si>
    <t>Valid admin account exists</t>
  </si>
  <si>
    <t>1. Log in as admin
2. Review home page apps
3. Open key apps</t>
  </si>
  <si>
    <t>Admin account</t>
  </si>
  <si>
    <t>Admin can access configured registration and clinical workflow apps</t>
  </si>
  <si>
    <t>Admin access matrix</t>
  </si>
  <si>
    <t>SEC-002</t>
  </si>
  <si>
    <t>Lower-privilege user sees limited application options</t>
  </si>
  <si>
    <t>A lower-privilege account is available</t>
  </si>
  <si>
    <t>1. Log in as lower-privilege user
2. Review home page apps</t>
  </si>
  <si>
    <t>Lower-privilege account</t>
  </si>
  <si>
    <t>Only apps permitted by role are visible and accessible</t>
  </si>
  <si>
    <t>Role-based home page</t>
  </si>
  <si>
    <t>SEC-003</t>
  </si>
  <si>
    <t>Direct URL access to protected page is blocked for unauthorized user</t>
  </si>
  <si>
    <t>Unauthorized or logged-out context is available</t>
  </si>
  <si>
    <t>1. Paste protected page URL directly
2. Attempt access</t>
  </si>
  <si>
    <t>Protected URL</t>
  </si>
  <si>
    <t>System redirects to login or blocks access securely</t>
  </si>
  <si>
    <t>Direct URL protection</t>
  </si>
  <si>
    <t>SEC-004</t>
  </si>
  <si>
    <t>Session expiration requires re-authentication before protected actions</t>
  </si>
  <si>
    <t>Authenticated session is active</t>
  </si>
  <si>
    <t>1. Leave session idle if timeout occurs
2. Attempt protected action</t>
  </si>
  <si>
    <t>Idle authenticated session</t>
  </si>
  <si>
    <t>System requires re-authentication when session is no longer valid</t>
  </si>
  <si>
    <t>Session control</t>
  </si>
  <si>
    <t>SEC-005</t>
  </si>
  <si>
    <t>Sensitive patient data is not exposed after logout</t>
  </si>
  <si>
    <t>User has viewed patient chart and then logs out</t>
  </si>
  <si>
    <t>1. Open patient chart
2. Log out
3. Try browser back/refresh</t>
  </si>
  <si>
    <t>Logged-out session</t>
  </si>
  <si>
    <t>Patient chart details are not exposed after logout</t>
  </si>
  <si>
    <t>PHI protection</t>
  </si>
  <si>
    <t>SEC-006</t>
  </si>
  <si>
    <t>Login error message does not reveal whether username or password was wrong</t>
  </si>
  <si>
    <t>Login page is available</t>
  </si>
  <si>
    <t>1. Attempt invalid login
2. Review message</t>
  </si>
  <si>
    <t>Wrong username or wrong password</t>
  </si>
  <si>
    <t>Authentication error is generic enough to avoid credential enumeration</t>
  </si>
  <si>
    <t>Safe error message</t>
  </si>
  <si>
    <t>ADM-001</t>
  </si>
  <si>
    <t>Home page displays modules relevant to authenticated role</t>
  </si>
  <si>
    <t>1. Log in
2. Review home page tiles/apps</t>
  </si>
  <si>
    <t>Admin or clerk role</t>
  </si>
  <si>
    <t>Home page displays role-relevant modules without broken navigation</t>
  </si>
  <si>
    <t>Role-specific navigation</t>
  </si>
  <si>
    <t>ADM-002</t>
  </si>
  <si>
    <t>Find Patient Record module opens and returns to home page cleanly</t>
  </si>
  <si>
    <t>1. Open Find Patient Record
2. Return to home/homepage</t>
  </si>
  <si>
    <t>Authenticated session</t>
  </si>
  <si>
    <t>Navigation works without broken breadcrumbs or blank page</t>
  </si>
  <si>
    <t>Module navigation</t>
  </si>
  <si>
    <t>ADM-003</t>
  </si>
  <si>
    <t>Patient list/search columns show identifying details needed for safe selection</t>
  </si>
  <si>
    <t>Search module is open</t>
  </si>
  <si>
    <t>1. Search for patients with similar names
2. Review results grid</t>
  </si>
  <si>
    <t>Patients with similar names</t>
  </si>
  <si>
    <t>Search results include enough identifying fields for safe patient selection</t>
  </si>
  <si>
    <t>Safe selection support</t>
  </si>
  <si>
    <t>ADM-004</t>
  </si>
  <si>
    <t>System handles unavailable module link or broken navigation gracefully</t>
  </si>
  <si>
    <t>A disabled/unavailable module path is simulated or encountered</t>
  </si>
  <si>
    <t>1. Attempt unavailable path/module
2. Observe behavior</t>
  </si>
  <si>
    <t>Unavailable page/path</t>
  </si>
  <si>
    <t>System shows controlled error or redirect instead of raw system failure</t>
  </si>
  <si>
    <t>Broken path handling</t>
  </si>
  <si>
    <t>ADM-005</t>
  </si>
  <si>
    <t>Admin workflow pages load within reasonable time without missing assets</t>
  </si>
  <si>
    <t>1. Open registration/search/visit-related pages
2. Review rendering</t>
  </si>
  <si>
    <t>Normal demo environment</t>
  </si>
  <si>
    <t>Pages render with visible controls and without missing-script/layout failures</t>
  </si>
  <si>
    <t>Page readiness</t>
  </si>
  <si>
    <t>UI-001</t>
  </si>
  <si>
    <t>Field labels and buttons are understandable on registration workflow</t>
  </si>
  <si>
    <t>1. Review registration pages
2. Navigate forward/back</t>
  </si>
  <si>
    <t>Standard registration flow</t>
  </si>
  <si>
    <t>Labels, buttons, and step names are understandable enough to complete flow</t>
  </si>
  <si>
    <t>No</t>
  </si>
  <si>
    <t>UX clarity</t>
  </si>
  <si>
    <t>UI-002</t>
  </si>
  <si>
    <t>Validation messages appear near the field or step causing the problem</t>
  </si>
  <si>
    <t>A required field is left invalid</t>
  </si>
  <si>
    <t>1. Trigger validation error
2. Observe placement/message</t>
  </si>
  <si>
    <t>Missing or invalid field</t>
  </si>
  <si>
    <t>Error messaging is visible, understandable, and helps correction</t>
  </si>
  <si>
    <t>Helpful guidance</t>
  </si>
  <si>
    <t>UI-003</t>
  </si>
  <si>
    <t>Browser refresh during safe read-only page does not corrupt patient context</t>
  </si>
  <si>
    <t>Patient dashboard is open</t>
  </si>
  <si>
    <t>1. Open patient dashboard
2. Refresh browser</t>
  </si>
  <si>
    <t>Open patient dashboard</t>
  </si>
  <si>
    <t>Page reloads cleanly and patient context remains accurate</t>
  </si>
  <si>
    <t>Refresh stability</t>
  </si>
  <si>
    <t>UI-004</t>
  </si>
  <si>
    <t>Unexpected invalid action returns controlled message instead of stack trace</t>
  </si>
  <si>
    <t>User attempts unsupported/invalid workflow state</t>
  </si>
  <si>
    <t>1. Trigger invalid navigation or unsupported action
2. Observe response</t>
  </si>
  <si>
    <t>Invalid workflow state</t>
  </si>
  <si>
    <t>System returns controlled user-facing error instead of raw technical exception</t>
  </si>
  <si>
    <t>Graceful error handling</t>
  </si>
  <si>
    <t>E2E-001</t>
  </si>
  <si>
    <t>Register patient to search to dashboard flow works end-to-end</t>
  </si>
  <si>
    <t>User has registration access</t>
  </si>
  <si>
    <t>1. Register new patient
2. Search for patient
3. Open dashboard</t>
  </si>
  <si>
    <t>Unique new patient demographics</t>
  </si>
  <si>
    <t>New patient can be created, found, and opened successfully end-to-end</t>
  </si>
  <si>
    <t>E2E</t>
  </si>
  <si>
    <t>Core admin flow</t>
  </si>
  <si>
    <t>E2E-002</t>
  </si>
  <si>
    <t>Register patient to start visit to save vitals flow works end-to-end</t>
  </si>
  <si>
    <t>User has registration and clinical access</t>
  </si>
  <si>
    <t>1. Register/find patient
2. Start visit
3. Enter vitals
4. Save</t>
  </si>
  <si>
    <t>Valid patient + vitals data</t>
  </si>
  <si>
    <t>Patient visit and vitals are saved successfully in one connected workflow</t>
  </si>
  <si>
    <t>Clinical workflow</t>
  </si>
  <si>
    <t>E2E-003</t>
  </si>
  <si>
    <t>Active visit to clinical note to patient history flow works end-to-end</t>
  </si>
  <si>
    <t>1. Start/open visit
2. Add clinical note
3. End visit
4. Review history</t>
  </si>
  <si>
    <t>Valid note text</t>
  </si>
  <si>
    <t>Clinical note remains visible in visit/patient history after workflow completion</t>
  </si>
  <si>
    <t>Encounter continuity</t>
  </si>
  <si>
    <t>E2E-004</t>
  </si>
  <si>
    <t>Logout and re-login retains previously saved patient and visit data</t>
  </si>
  <si>
    <t>A patient and visit/encounter were created earlier</t>
  </si>
  <si>
    <t>1. Complete workflow
2. Log out
3. Log back in
4. Search patient</t>
  </si>
  <si>
    <t>Previously saved patient data</t>
  </si>
  <si>
    <t>Previously saved records remain available and consistent after new session</t>
  </si>
  <si>
    <t>Persistence across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</si>
</sst>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2"/>
      <color theme="10"/>
      <name val="Calibri"/>
      <family val="2"/>
      <scheme val="minor"/>
    </font>
    <font>
      <i/>
      <sz val="11"/>
      <color rgb="FF7F6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AF3FF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1" xfId="1" applyBorder="1" applyAlignment="1">
      <alignment vertical="top" wrapText="1"/>
    </xf>
    <xf numFmtId="1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164" fontId="0" fillId="6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2" fillId="3" borderId="1" xfId="0" applyFont="1" applyFill="1" applyBorder="1"/>
    <xf numFmtId="0" fontId="0" fillId="0" borderId="3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>
      <alignment vertical="top" wrapText="1"/>
    </xf>
    <xf numFmtId="0" fontId="4" fillId="4" borderId="0" xfId="0" applyFont="1" applyFill="1" applyAlignment="1">
      <alignment vertical="top" wrapText="1"/>
    </xf>
  </cellXfs>
  <cellStyles count="2">
    <cellStyle name="Hyperlink" xfId="1" xr:uid="{00000000-0005-0000-0000-000001000000}"/>
    <cellStyle name="Normal" xfId="0" builtinId="0"/>
  </cellStyles>
  <dxfs count="44"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workbookViewId="0">
      <selection sqref="A1:C1"/>
    </sheetView>
  </sheetViews>
  <sheetFormatPr defaultRowHeight="14.4" x14ac:dyDescent="0.3"/>
  <cols>
    <col min="1" max="1" width="24" customWidth="1"/>
    <col min="2" max="2" width="62" customWidth="1"/>
    <col min="3" max="3" width="42" customWidth="1"/>
  </cols>
  <sheetData>
    <row r="1" spans="1:3" ht="22.05" customHeight="1" x14ac:dyDescent="0.3">
      <c r="A1" s="28" t="s">
        <v>0</v>
      </c>
      <c r="B1" s="29"/>
      <c r="C1" s="29"/>
    </row>
    <row r="3" spans="1:3" x14ac:dyDescent="0.3">
      <c r="A3" s="1" t="s">
        <v>1</v>
      </c>
      <c r="B3" s="24" t="s">
        <v>2</v>
      </c>
      <c r="C3" s="25"/>
    </row>
    <row r="4" spans="1:3" x14ac:dyDescent="0.3">
      <c r="A4" s="1" t="s">
        <v>3</v>
      </c>
      <c r="B4" s="24" t="s">
        <v>4</v>
      </c>
      <c r="C4" s="25"/>
    </row>
    <row r="5" spans="1:3" x14ac:dyDescent="0.3">
      <c r="A5" s="1" t="s">
        <v>5</v>
      </c>
      <c r="B5" s="24" t="s">
        <v>6</v>
      </c>
      <c r="C5" s="25"/>
    </row>
    <row r="6" spans="1:3" x14ac:dyDescent="0.3">
      <c r="A6" s="1" t="s">
        <v>7</v>
      </c>
      <c r="B6" s="24" t="s">
        <v>8</v>
      </c>
      <c r="C6" s="25"/>
    </row>
    <row r="7" spans="1:3" x14ac:dyDescent="0.3">
      <c r="A7" s="1" t="s">
        <v>9</v>
      </c>
      <c r="B7" s="24" t="s">
        <v>10</v>
      </c>
      <c r="C7" s="25"/>
    </row>
    <row r="8" spans="1:3" x14ac:dyDescent="0.3">
      <c r="A8" s="1" t="s">
        <v>11</v>
      </c>
      <c r="B8" s="24" t="s">
        <v>12</v>
      </c>
      <c r="C8" s="25"/>
    </row>
    <row r="9" spans="1:3" x14ac:dyDescent="0.3">
      <c r="A9" s="1" t="s">
        <v>13</v>
      </c>
      <c r="B9" s="24" t="s">
        <v>14</v>
      </c>
      <c r="C9" s="25"/>
    </row>
    <row r="11" spans="1:3" x14ac:dyDescent="0.3">
      <c r="A11" s="26" t="s">
        <v>15</v>
      </c>
      <c r="B11" s="27"/>
      <c r="C11" s="25"/>
    </row>
    <row r="12" spans="1:3" x14ac:dyDescent="0.3">
      <c r="A12" s="3" t="s">
        <v>16</v>
      </c>
      <c r="B12" s="3" t="s">
        <v>17</v>
      </c>
      <c r="C12" s="3" t="s">
        <v>18</v>
      </c>
    </row>
    <row r="13" spans="1:3" ht="28.8" x14ac:dyDescent="0.3">
      <c r="A13" s="2" t="s">
        <v>19</v>
      </c>
      <c r="B13" s="4" t="s">
        <v>20</v>
      </c>
      <c r="C13" s="2" t="s">
        <v>21</v>
      </c>
    </row>
    <row r="14" spans="1:3" ht="15.6" x14ac:dyDescent="0.3">
      <c r="A14" s="2" t="s">
        <v>22</v>
      </c>
      <c r="B14" s="4" t="s">
        <v>23</v>
      </c>
      <c r="C14" s="2" t="s">
        <v>24</v>
      </c>
    </row>
    <row r="15" spans="1:3" ht="28.8" x14ac:dyDescent="0.3">
      <c r="A15" s="2" t="s">
        <v>25</v>
      </c>
      <c r="B15" s="4" t="s">
        <v>26</v>
      </c>
      <c r="C15" s="2" t="s">
        <v>27</v>
      </c>
    </row>
    <row r="16" spans="1:3" ht="28.8" x14ac:dyDescent="0.3">
      <c r="A16" s="2" t="s">
        <v>28</v>
      </c>
      <c r="B16" s="4" t="s">
        <v>29</v>
      </c>
      <c r="C16" s="2" t="s">
        <v>30</v>
      </c>
    </row>
  </sheetData>
  <mergeCells count="9">
    <mergeCell ref="B6:C6"/>
    <mergeCell ref="A11:C11"/>
    <mergeCell ref="B7:C7"/>
    <mergeCell ref="A1:C1"/>
    <mergeCell ref="B3:C3"/>
    <mergeCell ref="B5:C5"/>
    <mergeCell ref="B9:C9"/>
    <mergeCell ref="B8:C8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showGridLines="0" workbookViewId="0">
      <selection sqref="A1:F1"/>
    </sheetView>
  </sheetViews>
  <sheetFormatPr defaultRowHeight="14.4" x14ac:dyDescent="0.3"/>
  <cols>
    <col min="1" max="2" width="24" customWidth="1"/>
    <col min="3" max="5" width="14" customWidth="1"/>
    <col min="6" max="6" width="20" customWidth="1"/>
  </cols>
  <sheetData>
    <row r="1" spans="1:6" ht="22.05" customHeight="1" x14ac:dyDescent="0.3">
      <c r="A1" s="28" t="s">
        <v>31</v>
      </c>
      <c r="B1" s="29"/>
      <c r="C1" s="29"/>
      <c r="D1" s="29"/>
      <c r="E1" s="29"/>
      <c r="F1" s="29"/>
    </row>
    <row r="2" spans="1:6" x14ac:dyDescent="0.3">
      <c r="A2" s="30" t="s">
        <v>32</v>
      </c>
      <c r="B2" s="29"/>
      <c r="C2" s="29"/>
      <c r="D2" s="29"/>
      <c r="E2" s="29"/>
      <c r="F2" s="29"/>
    </row>
    <row r="4" spans="1:6" x14ac:dyDescent="0.3">
      <c r="A4" s="26" t="s">
        <v>33</v>
      </c>
      <c r="B4" s="27"/>
      <c r="C4" s="27"/>
      <c r="D4" s="27"/>
      <c r="E4" s="27"/>
      <c r="F4" s="25"/>
    </row>
    <row r="5" spans="1:6" x14ac:dyDescent="0.3">
      <c r="A5" s="5" t="s">
        <v>34</v>
      </c>
      <c r="B5" s="6" t="s">
        <v>8</v>
      </c>
    </row>
    <row r="6" spans="1:6" x14ac:dyDescent="0.3">
      <c r="A6" s="5" t="s">
        <v>35</v>
      </c>
      <c r="B6" s="6" t="s">
        <v>10</v>
      </c>
    </row>
    <row r="7" spans="1:6" x14ac:dyDescent="0.3">
      <c r="A7" s="5" t="s">
        <v>36</v>
      </c>
      <c r="B7" s="6" t="s">
        <v>37</v>
      </c>
    </row>
    <row r="8" spans="1:6" x14ac:dyDescent="0.3">
      <c r="A8" s="5" t="s">
        <v>38</v>
      </c>
      <c r="B8" s="6" t="s">
        <v>12</v>
      </c>
    </row>
    <row r="10" spans="1:6" x14ac:dyDescent="0.3">
      <c r="A10" s="26" t="s">
        <v>39</v>
      </c>
      <c r="B10" s="27"/>
      <c r="C10" s="27"/>
      <c r="D10" s="27"/>
      <c r="E10" s="27"/>
      <c r="F10" s="25"/>
    </row>
    <row r="11" spans="1:6" ht="28.8" x14ac:dyDescent="0.3">
      <c r="A11" s="7" t="s">
        <v>40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45</v>
      </c>
    </row>
    <row r="12" spans="1:6" ht="15.6" x14ac:dyDescent="0.3">
      <c r="A12" s="2" t="s">
        <v>46</v>
      </c>
      <c r="B12" s="8" t="s">
        <v>47</v>
      </c>
      <c r="C12" s="9">
        <f>COUNTA('10_Authentication'!$A:$A)-2</f>
        <v>6</v>
      </c>
      <c r="D12" s="9">
        <f>COUNTIF('10_Authentication'!$H:$H,"High")+COUNTIF('10_Authentication'!$H:$H,"Critical")</f>
        <v>5</v>
      </c>
      <c r="E12" s="9">
        <f>COUNTIF('10_Authentication'!$I:$I,"Negative")</f>
        <v>3</v>
      </c>
      <c r="F12" s="9">
        <f>COUNTIF('10_Authentication'!$J:$J,"Yes")</f>
        <v>6</v>
      </c>
    </row>
    <row r="13" spans="1:6" ht="15.6" x14ac:dyDescent="0.3">
      <c r="A13" s="2" t="s">
        <v>48</v>
      </c>
      <c r="B13" s="8" t="s">
        <v>49</v>
      </c>
      <c r="C13" s="9">
        <f>COUNTA('20_Patient_Registration'!$A:$A)-2</f>
        <v>7</v>
      </c>
      <c r="D13" s="9">
        <f>COUNTIF('20_Patient_Registration'!$H:$H,"High")+COUNTIF('20_Patient_Registration'!$H:$H,"Critical")</f>
        <v>5</v>
      </c>
      <c r="E13" s="9">
        <f>COUNTIF('20_Patient_Registration'!$I:$I,"Negative")</f>
        <v>3</v>
      </c>
      <c r="F13" s="9">
        <f>COUNTIF('20_Patient_Registration'!$J:$J,"Yes")</f>
        <v>3</v>
      </c>
    </row>
    <row r="14" spans="1:6" ht="15.6" x14ac:dyDescent="0.3">
      <c r="A14" s="2" t="s">
        <v>50</v>
      </c>
      <c r="B14" s="8" t="s">
        <v>51</v>
      </c>
      <c r="C14" s="9">
        <f>COUNTA('30_Patient_Search'!$A:$A)-2</f>
        <v>6</v>
      </c>
      <c r="D14" s="9">
        <f>COUNTIF('30_Patient_Search'!$H:$H,"High")+COUNTIF('30_Patient_Search'!$H:$H,"Critical")</f>
        <v>4</v>
      </c>
      <c r="E14" s="9">
        <f>COUNTIF('30_Patient_Search'!$I:$I,"Negative")</f>
        <v>1</v>
      </c>
      <c r="F14" s="9">
        <f>COUNTIF('30_Patient_Search'!$J:$J,"Yes")</f>
        <v>5</v>
      </c>
    </row>
    <row r="15" spans="1:6" ht="15.6" x14ac:dyDescent="0.3">
      <c r="A15" s="2" t="s">
        <v>52</v>
      </c>
      <c r="B15" s="8" t="s">
        <v>53</v>
      </c>
      <c r="C15" s="9">
        <f>COUNTA('40_Patient_Dashboard'!$A:$A)-2</f>
        <v>5</v>
      </c>
      <c r="D15" s="9">
        <f>COUNTIF('40_Patient_Dashboard'!$H:$H,"High")+COUNTIF('40_Patient_Dashboard'!$H:$H,"Critical")</f>
        <v>4</v>
      </c>
      <c r="E15" s="9">
        <f>COUNTIF('40_Patient_Dashboard'!$I:$I,"Negative")</f>
        <v>1</v>
      </c>
      <c r="F15" s="9">
        <f>COUNTIF('40_Patient_Dashboard'!$J:$J,"Yes")</f>
        <v>1</v>
      </c>
    </row>
    <row r="16" spans="1:6" ht="15.6" x14ac:dyDescent="0.3">
      <c r="A16" s="2" t="s">
        <v>54</v>
      </c>
      <c r="B16" s="8" t="s">
        <v>55</v>
      </c>
      <c r="C16" s="9">
        <f>COUNTA('50_Visit_Management'!$A:$A)-2</f>
        <v>6</v>
      </c>
      <c r="D16" s="9">
        <f>COUNTIF('50_Visit_Management'!$H:$H,"High")+COUNTIF('50_Visit_Management'!$H:$H,"Critical")</f>
        <v>5</v>
      </c>
      <c r="E16" s="9">
        <f>COUNTIF('50_Visit_Management'!$I:$I,"Negative")</f>
        <v>2</v>
      </c>
      <c r="F16" s="9">
        <f>COUNTIF('50_Visit_Management'!$J:$J,"Yes")</f>
        <v>3</v>
      </c>
    </row>
    <row r="17" spans="1:6" ht="31.2" x14ac:dyDescent="0.3">
      <c r="A17" s="2" t="s">
        <v>56</v>
      </c>
      <c r="B17" s="8" t="s">
        <v>57</v>
      </c>
      <c r="C17" s="9">
        <f>COUNTA('60_Vitals_Clinical_Notes'!$A:$A)-2</f>
        <v>6</v>
      </c>
      <c r="D17" s="9">
        <f>COUNTIF('60_Vitals_Clinical_Notes'!$H:$H,"High")+COUNTIF('60_Vitals_Clinical_Notes'!$H:$H,"Critical")</f>
        <v>5</v>
      </c>
      <c r="E17" s="9">
        <f>COUNTIF('60_Vitals_Clinical_Notes'!$I:$I,"Negative")</f>
        <v>2</v>
      </c>
      <c r="F17" s="9">
        <f>COUNTIF('60_Vitals_Clinical_Notes'!$J:$J,"Yes")</f>
        <v>4</v>
      </c>
    </row>
    <row r="18" spans="1:6" ht="15.6" x14ac:dyDescent="0.3">
      <c r="A18" s="2" t="s">
        <v>58</v>
      </c>
      <c r="B18" s="8" t="s">
        <v>59</v>
      </c>
      <c r="C18" s="9">
        <f>COUNTA('70_Data_Validation'!$A:$A)-2</f>
        <v>5</v>
      </c>
      <c r="D18" s="9">
        <f>COUNTIF('70_Data_Validation'!$H:$H,"High")+COUNTIF('70_Data_Validation'!$H:$H,"Critical")</f>
        <v>4</v>
      </c>
      <c r="E18" s="9">
        <f>COUNTIF('70_Data_Validation'!$I:$I,"Negative")</f>
        <v>1</v>
      </c>
      <c r="F18" s="9">
        <f>COUNTIF('70_Data_Validation'!$J:$J,"Yes")</f>
        <v>1</v>
      </c>
    </row>
    <row r="19" spans="1:6" ht="15.6" x14ac:dyDescent="0.3">
      <c r="A19" s="2" t="s">
        <v>60</v>
      </c>
      <c r="B19" s="8" t="s">
        <v>61</v>
      </c>
      <c r="C19" s="9">
        <f>COUNTA('80_Security_Access'!$A:$A)-2</f>
        <v>6</v>
      </c>
      <c r="D19" s="9">
        <f>COUNTIF('80_Security_Access'!$H:$H,"High")+COUNTIF('80_Security_Access'!$H:$H,"Critical")</f>
        <v>5</v>
      </c>
      <c r="E19" s="9">
        <f>COUNTIF('80_Security_Access'!$I:$I,"Negative")</f>
        <v>2</v>
      </c>
      <c r="F19" s="9">
        <f>COUNTIF('80_Security_Access'!$J:$J,"Yes")</f>
        <v>3</v>
      </c>
    </row>
    <row r="20" spans="1:6" ht="15.6" x14ac:dyDescent="0.3">
      <c r="A20" s="2" t="s">
        <v>62</v>
      </c>
      <c r="B20" s="8" t="s">
        <v>63</v>
      </c>
      <c r="C20" s="9">
        <f>COUNTA('90_Admin_Reporting'!$A:$A)-2</f>
        <v>5</v>
      </c>
      <c r="D20" s="9">
        <f>COUNTIF('90_Admin_Reporting'!$H:$H,"High")+COUNTIF('90_Admin_Reporting'!$H:$H,"Critical")</f>
        <v>3</v>
      </c>
      <c r="E20" s="9">
        <f>COUNTIF('90_Admin_Reporting'!$I:$I,"Negative")</f>
        <v>1</v>
      </c>
      <c r="F20" s="9">
        <f>COUNTIF('90_Admin_Reporting'!$J:$J,"Yes")</f>
        <v>2</v>
      </c>
    </row>
    <row r="21" spans="1:6" ht="31.2" x14ac:dyDescent="0.3">
      <c r="A21" s="2" t="s">
        <v>64</v>
      </c>
      <c r="B21" s="8" t="s">
        <v>65</v>
      </c>
      <c r="C21" s="9">
        <f>COUNTA('100_Usability_Error_Handling'!$A:$A)-2</f>
        <v>4</v>
      </c>
      <c r="D21" s="9">
        <f>COUNTIF('100_Usability_Error_Handling'!$H:$H,"High")+COUNTIF('100_Usability_Error_Handling'!$H:$H,"Critical")</f>
        <v>2</v>
      </c>
      <c r="E21" s="9">
        <f>COUNTIF('100_Usability_Error_Handling'!$I:$I,"Negative")</f>
        <v>1</v>
      </c>
      <c r="F21" s="9">
        <f>COUNTIF('100_Usability_Error_Handling'!$J:$J,"Yes")</f>
        <v>1</v>
      </c>
    </row>
    <row r="22" spans="1:6" ht="15.6" x14ac:dyDescent="0.3">
      <c r="A22" s="2" t="s">
        <v>66</v>
      </c>
      <c r="B22" s="8" t="s">
        <v>67</v>
      </c>
      <c r="C22" s="9">
        <f>COUNTA('110_E2E'!$A:$A)-2</f>
        <v>4</v>
      </c>
      <c r="D22" s="9">
        <f>COUNTIF('110_E2E'!$H:$H,"High")+COUNTIF('110_E2E'!$H:$H,"Critical")</f>
        <v>4</v>
      </c>
      <c r="E22" s="9">
        <f>COUNTIF('110_E2E'!$I:$I,"Negative")</f>
        <v>0</v>
      </c>
      <c r="F22" s="9">
        <f>COUNTIF('110_E2E'!$J:$J,"Yes")</f>
        <v>0</v>
      </c>
    </row>
    <row r="23" spans="1:6" x14ac:dyDescent="0.3">
      <c r="A23" s="10" t="s">
        <v>68</v>
      </c>
      <c r="B23" s="11"/>
      <c r="C23" s="12">
        <f>SUM(C12:C22)</f>
        <v>60</v>
      </c>
      <c r="D23" s="12">
        <f>SUM(D12:D22)</f>
        <v>46</v>
      </c>
      <c r="E23" s="12">
        <f>SUM(E12:E22)</f>
        <v>17</v>
      </c>
      <c r="F23" s="12">
        <f>SUM(F12:F22)</f>
        <v>29</v>
      </c>
    </row>
    <row r="25" spans="1:6" x14ac:dyDescent="0.3">
      <c r="A25" s="26" t="s">
        <v>69</v>
      </c>
      <c r="B25" s="27"/>
      <c r="C25" s="27"/>
      <c r="D25" s="27"/>
      <c r="E25" s="27"/>
      <c r="F25" s="25"/>
    </row>
    <row r="26" spans="1:6" x14ac:dyDescent="0.3">
      <c r="A26" s="3" t="s">
        <v>70</v>
      </c>
      <c r="B26" s="3" t="s">
        <v>71</v>
      </c>
      <c r="D26" s="3" t="s">
        <v>72</v>
      </c>
      <c r="E26" s="3" t="s">
        <v>73</v>
      </c>
    </row>
    <row r="27" spans="1:6" ht="28.8" x14ac:dyDescent="0.3">
      <c r="A27" s="13" t="s">
        <v>8</v>
      </c>
      <c r="B27" s="14">
        <f>COUNTIF('10_Authentication'!$L:$L,$A27)+COUNTIF('20_Patient_Registration'!$L:$L,$A27)+COUNTIF('30_Patient_Search'!$L:$L,$A27)+COUNTIF('40_Patient_Dashboard'!$L:$L,$A27)+COUNTIF('50_Visit_Management'!$L:$L,$A27)+COUNTIF('60_Vitals_Clinical_Notes'!$L:$L,$A27)+COUNTIF('70_Data_Validation'!$L:$L,$A27)+COUNTIF('80_Security_Access'!$L:$L,$A27)+COUNTIF('90_Admin_Reporting'!$L:$L,$A27)+COUNTIF('100_Usability_Error_Handling'!$L:$L,$A27)+COUNTIF('110_E2E'!$L:$L,$A27)</f>
        <v>0</v>
      </c>
      <c r="D27" s="2" t="s">
        <v>74</v>
      </c>
      <c r="E27" s="14">
        <f>C23</f>
        <v>60</v>
      </c>
    </row>
    <row r="28" spans="1:6" x14ac:dyDescent="0.3">
      <c r="A28" s="15" t="s">
        <v>75</v>
      </c>
      <c r="B28" s="14">
        <f>COUNTIF('10_Authentication'!$L:$L,$A28)+COUNTIF('20_Patient_Registration'!$L:$L,$A28)+COUNTIF('30_Patient_Search'!$L:$L,$A28)+COUNTIF('40_Patient_Dashboard'!$L:$L,$A28)+COUNTIF('50_Visit_Management'!$L:$L,$A28)+COUNTIF('60_Vitals_Clinical_Notes'!$L:$L,$A28)+COUNTIF('70_Data_Validation'!$L:$L,$A28)+COUNTIF('80_Security_Access'!$L:$L,$A28)+COUNTIF('90_Admin_Reporting'!$L:$L,$A28)+COUNTIF('100_Usability_Error_Handling'!$L:$L,$A28)+COUNTIF('110_E2E'!$L:$L,$A28)</f>
        <v>0</v>
      </c>
      <c r="D28" s="2" t="s">
        <v>76</v>
      </c>
      <c r="E28" s="14">
        <f>SUM(B28:B30)</f>
        <v>0</v>
      </c>
    </row>
    <row r="29" spans="1:6" x14ac:dyDescent="0.3">
      <c r="A29" s="16" t="s">
        <v>77</v>
      </c>
      <c r="B29" s="14">
        <f>COUNTIF('10_Authentication'!$L:$L,$A29)+COUNTIF('20_Patient_Registration'!$L:$L,$A29)+COUNTIF('30_Patient_Search'!$L:$L,$A29)+COUNTIF('40_Patient_Dashboard'!$L:$L,$A29)+COUNTIF('50_Visit_Management'!$L:$L,$A29)+COUNTIF('60_Vitals_Clinical_Notes'!$L:$L,$A29)+COUNTIF('70_Data_Validation'!$L:$L,$A29)+COUNTIF('80_Security_Access'!$L:$L,$A29)+COUNTIF('90_Admin_Reporting'!$L:$L,$A29)+COUNTIF('100_Usability_Error_Handling'!$L:$L,$A29)+COUNTIF('110_E2E'!$L:$L,$A29)</f>
        <v>0</v>
      </c>
      <c r="D29" s="2" t="s">
        <v>78</v>
      </c>
      <c r="E29" s="17">
        <f>IF(E27=0,0,E28/E27)</f>
        <v>0</v>
      </c>
    </row>
    <row r="30" spans="1:6" x14ac:dyDescent="0.3">
      <c r="A30" s="18" t="s">
        <v>79</v>
      </c>
      <c r="B30" s="14">
        <f>COUNTIF('10_Authentication'!$L:$L,$A30)+COUNTIF('20_Patient_Registration'!$L:$L,$A30)+COUNTIF('30_Patient_Search'!$L:$L,$A30)+COUNTIF('40_Patient_Dashboard'!$L:$L,$A30)+COUNTIF('50_Visit_Management'!$L:$L,$A30)+COUNTIF('60_Vitals_Clinical_Notes'!$L:$L,$A30)+COUNTIF('70_Data_Validation'!$L:$L,$A30)+COUNTIF('80_Security_Access'!$L:$L,$A30)+COUNTIF('90_Admin_Reporting'!$L:$L,$A30)+COUNTIF('100_Usability_Error_Handling'!$L:$L,$A30)+COUNTIF('110_E2E'!$L:$L,$A30)</f>
        <v>0</v>
      </c>
      <c r="D30" s="2" t="s">
        <v>80</v>
      </c>
      <c r="E30" s="17">
        <f>IF(E28=0,0,B28/E28)</f>
        <v>0</v>
      </c>
    </row>
    <row r="31" spans="1:6" x14ac:dyDescent="0.3">
      <c r="A31" s="2" t="s">
        <v>81</v>
      </c>
      <c r="B31" s="19" t="s">
        <v>81</v>
      </c>
      <c r="D31" s="2" t="s">
        <v>82</v>
      </c>
      <c r="E31" s="17">
        <f>IF(E28=0,0,B29/E28)</f>
        <v>0</v>
      </c>
    </row>
  </sheetData>
  <mergeCells count="5">
    <mergeCell ref="A2:F2"/>
    <mergeCell ref="A10:F10"/>
    <mergeCell ref="A1:F1"/>
    <mergeCell ref="A4:F4"/>
    <mergeCell ref="A25:F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showGridLines="0" workbookViewId="0">
      <selection sqref="A1:L1"/>
    </sheetView>
  </sheetViews>
  <sheetFormatPr defaultRowHeight="14.4" x14ac:dyDescent="0.3"/>
  <cols>
    <col min="1" max="1" width="12" customWidth="1"/>
    <col min="2" max="2" width="20" customWidth="1"/>
    <col min="3" max="3" width="42" customWidth="1"/>
    <col min="4" max="4" width="28" customWidth="1"/>
    <col min="5" max="5" width="42" customWidth="1"/>
    <col min="6" max="6" width="24" customWidth="1"/>
    <col min="7" max="7" width="42" customWidth="1"/>
    <col min="8" max="8" width="12" customWidth="1"/>
    <col min="9" max="9" width="14" customWidth="1"/>
    <col min="10" max="10" width="20" customWidth="1"/>
    <col min="11" max="11" width="12" customWidth="1"/>
    <col min="12" max="12" width="24" customWidth="1"/>
  </cols>
  <sheetData>
    <row r="1" spans="1:12" ht="25.95" customHeight="1" x14ac:dyDescent="0.3">
      <c r="A1" s="3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8" x14ac:dyDescent="0.3">
      <c r="A2" s="7" t="s">
        <v>84</v>
      </c>
      <c r="B2" s="7" t="s">
        <v>40</v>
      </c>
      <c r="C2" s="7" t="s">
        <v>85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70</v>
      </c>
      <c r="L2" s="7" t="s">
        <v>93</v>
      </c>
    </row>
    <row r="3" spans="1:12" ht="43.2" x14ac:dyDescent="0.3">
      <c r="A3" s="20" t="s">
        <v>94</v>
      </c>
      <c r="B3" s="2" t="s">
        <v>46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1" t="s">
        <v>100</v>
      </c>
      <c r="I3" s="21" t="s">
        <v>101</v>
      </c>
      <c r="J3" s="21" t="s">
        <v>102</v>
      </c>
      <c r="K3" s="22" t="s">
        <v>8</v>
      </c>
      <c r="L3" s="23" t="s">
        <v>103</v>
      </c>
    </row>
    <row r="4" spans="1:12" ht="43.2" x14ac:dyDescent="0.3">
      <c r="A4" s="20" t="s">
        <v>104</v>
      </c>
      <c r="B4" s="2" t="s">
        <v>46</v>
      </c>
      <c r="C4" s="2" t="s">
        <v>105</v>
      </c>
      <c r="D4" s="2" t="s">
        <v>106</v>
      </c>
      <c r="E4" s="2" t="s">
        <v>107</v>
      </c>
      <c r="F4" s="2" t="s">
        <v>108</v>
      </c>
      <c r="G4" s="2" t="s">
        <v>109</v>
      </c>
      <c r="H4" s="21" t="s">
        <v>10</v>
      </c>
      <c r="I4" s="21" t="s">
        <v>110</v>
      </c>
      <c r="J4" s="21" t="s">
        <v>102</v>
      </c>
      <c r="K4" s="22" t="s">
        <v>8</v>
      </c>
      <c r="L4" s="23" t="s">
        <v>111</v>
      </c>
    </row>
    <row r="5" spans="1:12" ht="43.2" x14ac:dyDescent="0.3">
      <c r="A5" s="20" t="s">
        <v>112</v>
      </c>
      <c r="B5" s="2" t="s">
        <v>46</v>
      </c>
      <c r="C5" s="2" t="s">
        <v>113</v>
      </c>
      <c r="D5" s="2" t="s">
        <v>114</v>
      </c>
      <c r="E5" s="2" t="s">
        <v>115</v>
      </c>
      <c r="F5" s="2" t="s">
        <v>116</v>
      </c>
      <c r="G5" s="2" t="s">
        <v>117</v>
      </c>
      <c r="H5" s="21" t="s">
        <v>10</v>
      </c>
      <c r="I5" s="21" t="s">
        <v>110</v>
      </c>
      <c r="J5" s="21" t="s">
        <v>102</v>
      </c>
      <c r="K5" s="22" t="s">
        <v>8</v>
      </c>
      <c r="L5" s="23" t="s">
        <v>118</v>
      </c>
    </row>
    <row r="6" spans="1:12" ht="28.8" x14ac:dyDescent="0.3">
      <c r="A6" s="20" t="s">
        <v>119</v>
      </c>
      <c r="B6" s="2" t="s">
        <v>46</v>
      </c>
      <c r="C6" s="2" t="s">
        <v>120</v>
      </c>
      <c r="D6" s="2" t="s">
        <v>121</v>
      </c>
      <c r="E6" s="2" t="s">
        <v>122</v>
      </c>
      <c r="F6" s="2" t="s">
        <v>123</v>
      </c>
      <c r="G6" s="2" t="s">
        <v>124</v>
      </c>
      <c r="H6" s="21" t="s">
        <v>10</v>
      </c>
      <c r="I6" s="21" t="s">
        <v>101</v>
      </c>
      <c r="J6" s="21" t="s">
        <v>102</v>
      </c>
      <c r="K6" s="22" t="s">
        <v>8</v>
      </c>
      <c r="L6" s="23" t="s">
        <v>125</v>
      </c>
    </row>
    <row r="7" spans="1:12" ht="28.8" x14ac:dyDescent="0.3">
      <c r="A7" s="20" t="s">
        <v>126</v>
      </c>
      <c r="B7" s="2" t="s">
        <v>46</v>
      </c>
      <c r="C7" s="2" t="s">
        <v>127</v>
      </c>
      <c r="D7" s="2" t="s">
        <v>128</v>
      </c>
      <c r="E7" s="2" t="s">
        <v>129</v>
      </c>
      <c r="F7" s="2" t="s">
        <v>130</v>
      </c>
      <c r="G7" s="2" t="s">
        <v>131</v>
      </c>
      <c r="H7" s="21" t="s">
        <v>10</v>
      </c>
      <c r="I7" s="21" t="s">
        <v>132</v>
      </c>
      <c r="J7" s="21" t="s">
        <v>102</v>
      </c>
      <c r="K7" s="22" t="s">
        <v>8</v>
      </c>
      <c r="L7" s="23" t="s">
        <v>133</v>
      </c>
    </row>
    <row r="8" spans="1:12" ht="28.8" x14ac:dyDescent="0.3">
      <c r="A8" s="20" t="s">
        <v>134</v>
      </c>
      <c r="B8" s="2" t="s">
        <v>46</v>
      </c>
      <c r="C8" s="2" t="s">
        <v>135</v>
      </c>
      <c r="D8" s="2" t="s">
        <v>114</v>
      </c>
      <c r="E8" s="2" t="s">
        <v>136</v>
      </c>
      <c r="F8" s="2" t="s">
        <v>137</v>
      </c>
      <c r="G8" s="2" t="s">
        <v>138</v>
      </c>
      <c r="H8" s="21" t="s">
        <v>139</v>
      </c>
      <c r="I8" s="21" t="s">
        <v>110</v>
      </c>
      <c r="J8" s="21" t="s">
        <v>102</v>
      </c>
      <c r="K8" s="22" t="s">
        <v>8</v>
      </c>
      <c r="L8" s="23" t="s">
        <v>140</v>
      </c>
    </row>
  </sheetData>
  <mergeCells count="1">
    <mergeCell ref="A1:L1"/>
  </mergeCells>
  <conditionalFormatting sqref="K3:K8">
    <cfRule type="expression" dxfId="43" priority="1">
      <formula>K3="Pass"</formula>
    </cfRule>
    <cfRule type="expression" dxfId="42" priority="2">
      <formula>K3="Fail"</formula>
    </cfRule>
    <cfRule type="expression" dxfId="41" priority="3">
      <formula>K3="Blocked"</formula>
    </cfRule>
    <cfRule type="expression" dxfId="40" priority="4">
      <formula>K3="Not Run"</formula>
    </cfRule>
  </conditionalFormatting>
  <dataValidations count="4">
    <dataValidation type="list" sqref="K3:K8" xr:uid="{00000000-0002-0000-0200-000000000000}">
      <formula1>"Not Run,Pass,Fail,Blocked"</formula1>
    </dataValidation>
    <dataValidation type="list" sqref="H3:H8" xr:uid="{00000000-0002-0000-0200-000001000000}">
      <formula1>"Critical,High,Medium,Low"</formula1>
    </dataValidation>
    <dataValidation type="list" sqref="I3:I8" xr:uid="{00000000-0002-0000-0200-000002000000}">
      <formula1>"Positive,Negative,Regression,Security,Integration,E2E,Usability"</formula1>
    </dataValidation>
    <dataValidation type="list" sqref="J3:J8" xr:uid="{00000000-0002-0000-0200-000003000000}">
      <formula1>"Yes,Later,No"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showGridLines="0" workbookViewId="0">
      <selection sqref="A1:L1"/>
    </sheetView>
  </sheetViews>
  <sheetFormatPr defaultRowHeight="14.4" x14ac:dyDescent="0.3"/>
  <cols>
    <col min="1" max="1" width="12" customWidth="1"/>
    <col min="2" max="2" width="20" customWidth="1"/>
    <col min="3" max="3" width="42" customWidth="1"/>
    <col min="4" max="4" width="28" customWidth="1"/>
    <col min="5" max="5" width="42" customWidth="1"/>
    <col min="6" max="6" width="24" customWidth="1"/>
    <col min="7" max="7" width="42" customWidth="1"/>
    <col min="8" max="8" width="12" customWidth="1"/>
    <col min="9" max="9" width="14" customWidth="1"/>
    <col min="10" max="10" width="20" customWidth="1"/>
    <col min="11" max="11" width="12" customWidth="1"/>
    <col min="12" max="12" width="24" customWidth="1"/>
  </cols>
  <sheetData>
    <row r="1" spans="1:12" ht="25.95" customHeight="1" x14ac:dyDescent="0.3">
      <c r="A1" s="3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8" x14ac:dyDescent="0.3">
      <c r="A2" s="7" t="s">
        <v>84</v>
      </c>
      <c r="B2" s="7" t="s">
        <v>40</v>
      </c>
      <c r="C2" s="7" t="s">
        <v>85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70</v>
      </c>
      <c r="L2" s="7" t="s">
        <v>93</v>
      </c>
    </row>
    <row r="3" spans="1:12" ht="57.6" x14ac:dyDescent="0.3">
      <c r="A3" s="20" t="s">
        <v>141</v>
      </c>
      <c r="B3" s="2" t="s">
        <v>48</v>
      </c>
      <c r="C3" s="2" t="s">
        <v>142</v>
      </c>
      <c r="D3" s="2" t="s">
        <v>143</v>
      </c>
      <c r="E3" s="2" t="s">
        <v>144</v>
      </c>
      <c r="F3" s="2" t="s">
        <v>145</v>
      </c>
      <c r="G3" s="2" t="s">
        <v>146</v>
      </c>
      <c r="H3" s="21" t="s">
        <v>100</v>
      </c>
      <c r="I3" s="21" t="s">
        <v>101</v>
      </c>
      <c r="J3" s="21" t="s">
        <v>102</v>
      </c>
      <c r="K3" s="22" t="s">
        <v>8</v>
      </c>
      <c r="L3" s="23" t="s">
        <v>147</v>
      </c>
    </row>
    <row r="4" spans="1:12" ht="28.8" x14ac:dyDescent="0.3">
      <c r="A4" s="20" t="s">
        <v>148</v>
      </c>
      <c r="B4" s="2" t="s">
        <v>48</v>
      </c>
      <c r="C4" s="2" t="s">
        <v>149</v>
      </c>
      <c r="D4" s="2" t="s">
        <v>150</v>
      </c>
      <c r="E4" s="2" t="s">
        <v>151</v>
      </c>
      <c r="F4" s="2" t="s">
        <v>152</v>
      </c>
      <c r="G4" s="2" t="s">
        <v>153</v>
      </c>
      <c r="H4" s="21" t="s">
        <v>10</v>
      </c>
      <c r="I4" s="21" t="s">
        <v>110</v>
      </c>
      <c r="J4" s="21" t="s">
        <v>102</v>
      </c>
      <c r="K4" s="22" t="s">
        <v>8</v>
      </c>
      <c r="L4" s="23" t="s">
        <v>154</v>
      </c>
    </row>
    <row r="5" spans="1:12" ht="28.8" x14ac:dyDescent="0.3">
      <c r="A5" s="20" t="s">
        <v>155</v>
      </c>
      <c r="B5" s="2" t="s">
        <v>48</v>
      </c>
      <c r="C5" s="2" t="s">
        <v>156</v>
      </c>
      <c r="D5" s="2" t="s">
        <v>150</v>
      </c>
      <c r="E5" s="2" t="s">
        <v>157</v>
      </c>
      <c r="F5" s="2" t="s">
        <v>158</v>
      </c>
      <c r="G5" s="2" t="s">
        <v>159</v>
      </c>
      <c r="H5" s="21" t="s">
        <v>10</v>
      </c>
      <c r="I5" s="21" t="s">
        <v>110</v>
      </c>
      <c r="J5" s="21" t="s">
        <v>102</v>
      </c>
      <c r="K5" s="22" t="s">
        <v>8</v>
      </c>
      <c r="L5" s="23" t="s">
        <v>160</v>
      </c>
    </row>
    <row r="6" spans="1:12" ht="43.2" x14ac:dyDescent="0.3">
      <c r="A6" s="20" t="s">
        <v>161</v>
      </c>
      <c r="B6" s="2" t="s">
        <v>48</v>
      </c>
      <c r="C6" s="2" t="s">
        <v>162</v>
      </c>
      <c r="D6" s="2" t="s">
        <v>150</v>
      </c>
      <c r="E6" s="2" t="s">
        <v>163</v>
      </c>
      <c r="F6" s="2" t="s">
        <v>164</v>
      </c>
      <c r="G6" s="2" t="s">
        <v>165</v>
      </c>
      <c r="H6" s="21" t="s">
        <v>139</v>
      </c>
      <c r="I6" s="21" t="s">
        <v>166</v>
      </c>
      <c r="J6" s="21" t="s">
        <v>167</v>
      </c>
      <c r="K6" s="22" t="s">
        <v>8</v>
      </c>
      <c r="L6" s="23" t="s">
        <v>168</v>
      </c>
    </row>
    <row r="7" spans="1:12" ht="57.6" x14ac:dyDescent="0.3">
      <c r="A7" s="20" t="s">
        <v>169</v>
      </c>
      <c r="B7" s="2" t="s">
        <v>48</v>
      </c>
      <c r="C7" s="2" t="s">
        <v>170</v>
      </c>
      <c r="D7" s="2" t="s">
        <v>171</v>
      </c>
      <c r="E7" s="2" t="s">
        <v>172</v>
      </c>
      <c r="F7" s="2" t="s">
        <v>173</v>
      </c>
      <c r="G7" s="2" t="s">
        <v>174</v>
      </c>
      <c r="H7" s="21" t="s">
        <v>100</v>
      </c>
      <c r="I7" s="21" t="s">
        <v>110</v>
      </c>
      <c r="J7" s="21" t="s">
        <v>167</v>
      </c>
      <c r="K7" s="22" t="s">
        <v>8</v>
      </c>
      <c r="L7" s="23" t="s">
        <v>175</v>
      </c>
    </row>
    <row r="8" spans="1:12" ht="28.8" x14ac:dyDescent="0.3">
      <c r="A8" s="20" t="s">
        <v>176</v>
      </c>
      <c r="B8" s="2" t="s">
        <v>48</v>
      </c>
      <c r="C8" s="2" t="s">
        <v>177</v>
      </c>
      <c r="D8" s="2" t="s">
        <v>150</v>
      </c>
      <c r="E8" s="2" t="s">
        <v>178</v>
      </c>
      <c r="F8" s="2" t="s">
        <v>179</v>
      </c>
      <c r="G8" s="2" t="s">
        <v>180</v>
      </c>
      <c r="H8" s="21" t="s">
        <v>139</v>
      </c>
      <c r="I8" s="21" t="s">
        <v>101</v>
      </c>
      <c r="J8" s="21" t="s">
        <v>167</v>
      </c>
      <c r="K8" s="22" t="s">
        <v>8</v>
      </c>
      <c r="L8" s="23" t="s">
        <v>181</v>
      </c>
    </row>
    <row r="9" spans="1:12" ht="28.8" x14ac:dyDescent="0.3">
      <c r="A9" s="20" t="s">
        <v>182</v>
      </c>
      <c r="B9" s="2" t="s">
        <v>48</v>
      </c>
      <c r="C9" s="2" t="s">
        <v>183</v>
      </c>
      <c r="D9" s="2" t="s">
        <v>184</v>
      </c>
      <c r="E9" s="2" t="s">
        <v>185</v>
      </c>
      <c r="F9" s="2" t="s">
        <v>186</v>
      </c>
      <c r="G9" s="2" t="s">
        <v>187</v>
      </c>
      <c r="H9" s="21" t="s">
        <v>10</v>
      </c>
      <c r="I9" s="21" t="s">
        <v>101</v>
      </c>
      <c r="J9" s="21" t="s">
        <v>167</v>
      </c>
      <c r="K9" s="22" t="s">
        <v>8</v>
      </c>
      <c r="L9" s="23" t="s">
        <v>188</v>
      </c>
    </row>
  </sheetData>
  <mergeCells count="1">
    <mergeCell ref="A1:L1"/>
  </mergeCells>
  <conditionalFormatting sqref="K3:K9">
    <cfRule type="expression" dxfId="39" priority="1">
      <formula>K3="Pass"</formula>
    </cfRule>
    <cfRule type="expression" dxfId="38" priority="2">
      <formula>K3="Fail"</formula>
    </cfRule>
    <cfRule type="expression" dxfId="37" priority="3">
      <formula>K3="Blocked"</formula>
    </cfRule>
    <cfRule type="expression" dxfId="36" priority="4">
      <formula>K3="Not Run"</formula>
    </cfRule>
  </conditionalFormatting>
  <dataValidations count="4">
    <dataValidation type="list" sqref="K3:K9" xr:uid="{00000000-0002-0000-0300-000000000000}">
      <formula1>"Not Run,Pass,Fail,Blocked"</formula1>
    </dataValidation>
    <dataValidation type="list" sqref="H3:H9" xr:uid="{00000000-0002-0000-0300-000001000000}">
      <formula1>"Critical,High,Medium,Low"</formula1>
    </dataValidation>
    <dataValidation type="list" sqref="I3:I9" xr:uid="{00000000-0002-0000-0300-000002000000}">
      <formula1>"Positive,Negative,Regression,Security,Integration,E2E,Usability"</formula1>
    </dataValidation>
    <dataValidation type="list" sqref="J3:J9" xr:uid="{00000000-0002-0000-0300-000003000000}">
      <formula1>"Yes,Later,No"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"/>
  <sheetViews>
    <sheetView showGridLines="0" workbookViewId="0">
      <selection sqref="A1:L1"/>
    </sheetView>
  </sheetViews>
  <sheetFormatPr defaultRowHeight="14.4" x14ac:dyDescent="0.3"/>
  <cols>
    <col min="1" max="1" width="12" customWidth="1"/>
    <col min="2" max="2" width="20" customWidth="1"/>
    <col min="3" max="3" width="42" customWidth="1"/>
    <col min="4" max="4" width="28" customWidth="1"/>
    <col min="5" max="5" width="42" customWidth="1"/>
    <col min="6" max="6" width="24" customWidth="1"/>
    <col min="7" max="7" width="42" customWidth="1"/>
    <col min="8" max="8" width="12" customWidth="1"/>
    <col min="9" max="9" width="14" customWidth="1"/>
    <col min="10" max="10" width="20" customWidth="1"/>
    <col min="11" max="11" width="12" customWidth="1"/>
    <col min="12" max="12" width="24" customWidth="1"/>
  </cols>
  <sheetData>
    <row r="1" spans="1:12" ht="25.95" customHeight="1" x14ac:dyDescent="0.3">
      <c r="A1" s="3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8" x14ac:dyDescent="0.3">
      <c r="A2" s="7" t="s">
        <v>84</v>
      </c>
      <c r="B2" s="7" t="s">
        <v>40</v>
      </c>
      <c r="C2" s="7" t="s">
        <v>85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70</v>
      </c>
      <c r="L2" s="7" t="s">
        <v>93</v>
      </c>
    </row>
    <row r="3" spans="1:12" ht="28.8" x14ac:dyDescent="0.3">
      <c r="A3" s="20" t="s">
        <v>189</v>
      </c>
      <c r="B3" s="2" t="s">
        <v>50</v>
      </c>
      <c r="C3" s="2" t="s">
        <v>190</v>
      </c>
      <c r="D3" s="2" t="s">
        <v>191</v>
      </c>
      <c r="E3" s="2" t="s">
        <v>192</v>
      </c>
      <c r="F3" s="2" t="s">
        <v>193</v>
      </c>
      <c r="G3" s="2" t="s">
        <v>194</v>
      </c>
      <c r="H3" s="21" t="s">
        <v>10</v>
      </c>
      <c r="I3" s="21" t="s">
        <v>101</v>
      </c>
      <c r="J3" s="21" t="s">
        <v>102</v>
      </c>
      <c r="K3" s="22" t="s">
        <v>8</v>
      </c>
      <c r="L3" s="23" t="s">
        <v>195</v>
      </c>
    </row>
    <row r="4" spans="1:12" ht="28.8" x14ac:dyDescent="0.3">
      <c r="A4" s="20" t="s">
        <v>196</v>
      </c>
      <c r="B4" s="2" t="s">
        <v>50</v>
      </c>
      <c r="C4" s="2" t="s">
        <v>197</v>
      </c>
      <c r="D4" s="2" t="s">
        <v>198</v>
      </c>
      <c r="E4" s="2" t="s">
        <v>199</v>
      </c>
      <c r="F4" s="2" t="s">
        <v>200</v>
      </c>
      <c r="G4" s="2" t="s">
        <v>201</v>
      </c>
      <c r="H4" s="21" t="s">
        <v>100</v>
      </c>
      <c r="I4" s="21" t="s">
        <v>101</v>
      </c>
      <c r="J4" s="21" t="s">
        <v>102</v>
      </c>
      <c r="K4" s="22" t="s">
        <v>8</v>
      </c>
      <c r="L4" s="23" t="s">
        <v>202</v>
      </c>
    </row>
    <row r="5" spans="1:12" ht="28.8" x14ac:dyDescent="0.3">
      <c r="A5" s="20" t="s">
        <v>203</v>
      </c>
      <c r="B5" s="2" t="s">
        <v>50</v>
      </c>
      <c r="C5" s="2" t="s">
        <v>204</v>
      </c>
      <c r="D5" s="2" t="s">
        <v>205</v>
      </c>
      <c r="E5" s="2" t="s">
        <v>206</v>
      </c>
      <c r="F5" s="2" t="s">
        <v>207</v>
      </c>
      <c r="G5" s="2" t="s">
        <v>208</v>
      </c>
      <c r="H5" s="21" t="s">
        <v>139</v>
      </c>
      <c r="I5" s="21" t="s">
        <v>101</v>
      </c>
      <c r="J5" s="21" t="s">
        <v>102</v>
      </c>
      <c r="K5" s="22" t="s">
        <v>8</v>
      </c>
      <c r="L5" s="23" t="s">
        <v>209</v>
      </c>
    </row>
    <row r="6" spans="1:12" ht="28.8" x14ac:dyDescent="0.3">
      <c r="A6" s="20" t="s">
        <v>210</v>
      </c>
      <c r="B6" s="2" t="s">
        <v>50</v>
      </c>
      <c r="C6" s="2" t="s">
        <v>211</v>
      </c>
      <c r="D6" s="2" t="s">
        <v>212</v>
      </c>
      <c r="E6" s="2" t="s">
        <v>213</v>
      </c>
      <c r="F6" s="2" t="s">
        <v>214</v>
      </c>
      <c r="G6" s="2" t="s">
        <v>215</v>
      </c>
      <c r="H6" s="21" t="s">
        <v>10</v>
      </c>
      <c r="I6" s="21" t="s">
        <v>110</v>
      </c>
      <c r="J6" s="21" t="s">
        <v>102</v>
      </c>
      <c r="K6" s="22" t="s">
        <v>8</v>
      </c>
      <c r="L6" s="23" t="s">
        <v>216</v>
      </c>
    </row>
    <row r="7" spans="1:12" ht="28.8" x14ac:dyDescent="0.3">
      <c r="A7" s="20" t="s">
        <v>217</v>
      </c>
      <c r="B7" s="2" t="s">
        <v>50</v>
      </c>
      <c r="C7" s="2" t="s">
        <v>218</v>
      </c>
      <c r="D7" s="2" t="s">
        <v>219</v>
      </c>
      <c r="E7" s="2" t="s">
        <v>220</v>
      </c>
      <c r="F7" s="2" t="s">
        <v>221</v>
      </c>
      <c r="G7" s="2" t="s">
        <v>222</v>
      </c>
      <c r="H7" s="21" t="s">
        <v>10</v>
      </c>
      <c r="I7" s="21" t="s">
        <v>166</v>
      </c>
      <c r="J7" s="21" t="s">
        <v>167</v>
      </c>
      <c r="K7" s="22" t="s">
        <v>8</v>
      </c>
      <c r="L7" s="23" t="s">
        <v>223</v>
      </c>
    </row>
    <row r="8" spans="1:12" ht="28.8" x14ac:dyDescent="0.3">
      <c r="A8" s="20" t="s">
        <v>224</v>
      </c>
      <c r="B8" s="2" t="s">
        <v>50</v>
      </c>
      <c r="C8" s="2" t="s">
        <v>225</v>
      </c>
      <c r="D8" s="2" t="s">
        <v>212</v>
      </c>
      <c r="E8" s="2" t="s">
        <v>226</v>
      </c>
      <c r="F8" s="2" t="s">
        <v>227</v>
      </c>
      <c r="G8" s="2" t="s">
        <v>228</v>
      </c>
      <c r="H8" s="21" t="s">
        <v>139</v>
      </c>
      <c r="I8" s="21" t="s">
        <v>229</v>
      </c>
      <c r="J8" s="21" t="s">
        <v>102</v>
      </c>
      <c r="K8" s="22" t="s">
        <v>8</v>
      </c>
      <c r="L8" s="23" t="s">
        <v>230</v>
      </c>
    </row>
  </sheetData>
  <mergeCells count="1">
    <mergeCell ref="A1:L1"/>
  </mergeCells>
  <conditionalFormatting sqref="K3:K8">
    <cfRule type="expression" dxfId="35" priority="1">
      <formula>K3="Pass"</formula>
    </cfRule>
    <cfRule type="expression" dxfId="34" priority="2">
      <formula>K3="Fail"</formula>
    </cfRule>
    <cfRule type="expression" dxfId="33" priority="3">
      <formula>K3="Blocked"</formula>
    </cfRule>
    <cfRule type="expression" dxfId="32" priority="4">
      <formula>K3="Not Run"</formula>
    </cfRule>
  </conditionalFormatting>
  <dataValidations count="4">
    <dataValidation type="list" sqref="K3:K8" xr:uid="{00000000-0002-0000-0400-000000000000}">
      <formula1>"Not Run,Pass,Fail,Blocked"</formula1>
    </dataValidation>
    <dataValidation type="list" sqref="H3:H8" xr:uid="{00000000-0002-0000-0400-000001000000}">
      <formula1>"Critical,High,Medium,Low"</formula1>
    </dataValidation>
    <dataValidation type="list" sqref="I3:I8" xr:uid="{00000000-0002-0000-0400-000002000000}">
      <formula1>"Positive,Negative,Regression,Security,Integration,E2E,Usability"</formula1>
    </dataValidation>
    <dataValidation type="list" sqref="J3:J8" xr:uid="{00000000-0002-0000-0400-000003000000}">
      <formula1>"Yes,Later,No"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showGridLines="0" tabSelected="1" workbookViewId="0">
      <selection sqref="A1:L1"/>
    </sheetView>
  </sheetViews>
  <sheetFormatPr defaultRowHeight="14.4" x14ac:dyDescent="0.3"/>
  <cols>
    <col min="1" max="1" width="12" customWidth="1"/>
    <col min="2" max="2" width="20" customWidth="1"/>
    <col min="3" max="3" width="42" customWidth="1"/>
    <col min="4" max="4" width="28" customWidth="1"/>
    <col min="5" max="5" width="42" customWidth="1"/>
    <col min="6" max="6" width="24" customWidth="1"/>
    <col min="7" max="7" width="42" customWidth="1"/>
    <col min="8" max="8" width="12" customWidth="1"/>
    <col min="9" max="9" width="14" customWidth="1"/>
    <col min="10" max="10" width="20" customWidth="1"/>
    <col min="11" max="11" width="12" customWidth="1"/>
    <col min="12" max="12" width="24" customWidth="1"/>
  </cols>
  <sheetData>
    <row r="1" spans="1:12" ht="25.95" customHeight="1" x14ac:dyDescent="0.3">
      <c r="A1" s="3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8" x14ac:dyDescent="0.3">
      <c r="A2" s="7" t="s">
        <v>84</v>
      </c>
      <c r="B2" s="7" t="s">
        <v>40</v>
      </c>
      <c r="C2" s="7" t="s">
        <v>85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70</v>
      </c>
      <c r="L2" s="7" t="s">
        <v>93</v>
      </c>
    </row>
    <row r="3" spans="1:12" ht="28.8" x14ac:dyDescent="0.3">
      <c r="A3" s="20" t="s">
        <v>231</v>
      </c>
      <c r="B3" s="2" t="s">
        <v>52</v>
      </c>
      <c r="C3" s="2" t="s">
        <v>232</v>
      </c>
      <c r="D3" s="2" t="s">
        <v>233</v>
      </c>
      <c r="E3" s="2" t="s">
        <v>234</v>
      </c>
      <c r="F3" s="2" t="s">
        <v>235</v>
      </c>
      <c r="G3" s="2" t="s">
        <v>236</v>
      </c>
      <c r="H3" s="21" t="s">
        <v>100</v>
      </c>
      <c r="I3" s="21" t="s">
        <v>101</v>
      </c>
      <c r="J3" s="21" t="s">
        <v>102</v>
      </c>
      <c r="K3" s="22" t="s">
        <v>8</v>
      </c>
      <c r="L3" s="23" t="s">
        <v>237</v>
      </c>
    </row>
    <row r="4" spans="1:12" ht="43.2" x14ac:dyDescent="0.3">
      <c r="A4" s="20" t="s">
        <v>238</v>
      </c>
      <c r="B4" s="2" t="s">
        <v>52</v>
      </c>
      <c r="C4" s="2" t="s">
        <v>239</v>
      </c>
      <c r="D4" s="2" t="s">
        <v>240</v>
      </c>
      <c r="E4" s="2" t="s">
        <v>241</v>
      </c>
      <c r="F4" s="2" t="s">
        <v>242</v>
      </c>
      <c r="G4" s="2" t="s">
        <v>243</v>
      </c>
      <c r="H4" s="21" t="s">
        <v>10</v>
      </c>
      <c r="I4" s="21" t="s">
        <v>166</v>
      </c>
      <c r="J4" s="21" t="s">
        <v>167</v>
      </c>
      <c r="K4" s="22" t="s">
        <v>8</v>
      </c>
      <c r="L4" s="23" t="s">
        <v>244</v>
      </c>
    </row>
    <row r="5" spans="1:12" ht="28.8" x14ac:dyDescent="0.3">
      <c r="A5" s="20" t="s">
        <v>245</v>
      </c>
      <c r="B5" s="2" t="s">
        <v>52</v>
      </c>
      <c r="C5" s="2" t="s">
        <v>246</v>
      </c>
      <c r="D5" s="2" t="s">
        <v>247</v>
      </c>
      <c r="E5" s="2" t="s">
        <v>248</v>
      </c>
      <c r="F5" s="2" t="s">
        <v>249</v>
      </c>
      <c r="G5" s="2" t="s">
        <v>250</v>
      </c>
      <c r="H5" s="21" t="s">
        <v>10</v>
      </c>
      <c r="I5" s="21" t="s">
        <v>101</v>
      </c>
      <c r="J5" s="21" t="s">
        <v>167</v>
      </c>
      <c r="K5" s="22" t="s">
        <v>8</v>
      </c>
      <c r="L5" s="23" t="s">
        <v>251</v>
      </c>
    </row>
    <row r="6" spans="1:12" ht="28.8" x14ac:dyDescent="0.3">
      <c r="A6" s="20" t="s">
        <v>252</v>
      </c>
      <c r="B6" s="2" t="s">
        <v>52</v>
      </c>
      <c r="C6" s="2" t="s">
        <v>253</v>
      </c>
      <c r="D6" s="2" t="s">
        <v>254</v>
      </c>
      <c r="E6" s="2" t="s">
        <v>255</v>
      </c>
      <c r="F6" s="2" t="s">
        <v>256</v>
      </c>
      <c r="G6" s="2" t="s">
        <v>257</v>
      </c>
      <c r="H6" s="21" t="s">
        <v>139</v>
      </c>
      <c r="I6" s="21" t="s">
        <v>110</v>
      </c>
      <c r="J6" s="21" t="s">
        <v>167</v>
      </c>
      <c r="K6" s="22" t="s">
        <v>8</v>
      </c>
      <c r="L6" s="23" t="s">
        <v>258</v>
      </c>
    </row>
    <row r="7" spans="1:12" ht="28.8" x14ac:dyDescent="0.3">
      <c r="A7" s="20" t="s">
        <v>259</v>
      </c>
      <c r="B7" s="2" t="s">
        <v>52</v>
      </c>
      <c r="C7" s="2" t="s">
        <v>260</v>
      </c>
      <c r="D7" s="2" t="s">
        <v>261</v>
      </c>
      <c r="E7" s="2" t="s">
        <v>262</v>
      </c>
      <c r="F7" s="2" t="s">
        <v>263</v>
      </c>
      <c r="G7" s="2" t="s">
        <v>264</v>
      </c>
      <c r="H7" s="21" t="s">
        <v>10</v>
      </c>
      <c r="I7" s="21" t="s">
        <v>265</v>
      </c>
      <c r="J7" s="21" t="s">
        <v>167</v>
      </c>
      <c r="K7" s="22" t="s">
        <v>8</v>
      </c>
      <c r="L7" s="23" t="s">
        <v>266</v>
      </c>
    </row>
  </sheetData>
  <mergeCells count="1">
    <mergeCell ref="A1:L1"/>
  </mergeCells>
  <conditionalFormatting sqref="K3:K7">
    <cfRule type="expression" dxfId="31" priority="1">
      <formula>K3="Pass"</formula>
    </cfRule>
    <cfRule type="expression" dxfId="30" priority="2">
      <formula>K3="Fail"</formula>
    </cfRule>
    <cfRule type="expression" dxfId="29" priority="3">
      <formula>K3="Blocked"</formula>
    </cfRule>
    <cfRule type="expression" dxfId="28" priority="4">
      <formula>K3="Not Run"</formula>
    </cfRule>
  </conditionalFormatting>
  <dataValidations count="4">
    <dataValidation type="list" sqref="K3:K7" xr:uid="{00000000-0002-0000-0500-000000000000}">
      <formula1>"Not Run,Pass,Fail,Blocked"</formula1>
    </dataValidation>
    <dataValidation type="list" sqref="H3:H7" xr:uid="{00000000-0002-0000-0500-000001000000}">
      <formula1>"Critical,High,Medium,Low"</formula1>
    </dataValidation>
    <dataValidation type="list" sqref="I3:I7" xr:uid="{00000000-0002-0000-0500-000002000000}">
      <formula1>"Positive,Negative,Regression,Security,Integration,E2E,Usability"</formula1>
    </dataValidation>
    <dataValidation type="list" sqref="J3:J7" xr:uid="{00000000-0002-0000-0500-000003000000}">
      <formula1>"Yes,Later,No"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42" customWidth="1"/>
    <col min="4" max="4" width="28" customWidth="1"/>
    <col min="5" max="5" width="42" customWidth="1"/>
    <col min="6" max="6" width="24" customWidth="1"/>
    <col min="7" max="7" width="42" customWidth="1"/>
    <col min="8" max="8" width="12" customWidth="1"/>
    <col min="9" max="9" width="14" customWidth="1"/>
    <col min="10" max="10" width="20" customWidth="1"/>
    <col min="11" max="11" width="12" customWidth="1"/>
    <col min="12" max="12" width="24" customWidth="1"/>
  </cols>
  <sheetData>
    <row r="1" spans="1:12" ht="25.95" customHeight="1" x14ac:dyDescent="0.3">
      <c r="A1" s="3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8" x14ac:dyDescent="0.3">
      <c r="A2" s="7" t="s">
        <v>84</v>
      </c>
      <c r="B2" s="7" t="s">
        <v>40</v>
      </c>
      <c r="C2" s="7" t="s">
        <v>85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70</v>
      </c>
      <c r="L2" s="7" t="s">
        <v>93</v>
      </c>
    </row>
    <row r="3" spans="1:12" ht="43.2" x14ac:dyDescent="0.3">
      <c r="A3" s="20" t="s">
        <v>267</v>
      </c>
      <c r="B3" s="2" t="s">
        <v>54</v>
      </c>
      <c r="C3" s="2" t="s">
        <v>268</v>
      </c>
      <c r="D3" s="2" t="s">
        <v>269</v>
      </c>
      <c r="E3" s="2" t="s">
        <v>270</v>
      </c>
      <c r="F3" s="2" t="s">
        <v>271</v>
      </c>
      <c r="G3" s="2" t="s">
        <v>272</v>
      </c>
      <c r="H3" s="21" t="s">
        <v>100</v>
      </c>
      <c r="I3" s="21" t="s">
        <v>101</v>
      </c>
      <c r="J3" s="21" t="s">
        <v>102</v>
      </c>
      <c r="K3" s="22" t="s">
        <v>8</v>
      </c>
      <c r="L3" s="23" t="s">
        <v>273</v>
      </c>
    </row>
    <row r="4" spans="1:12" ht="28.8" x14ac:dyDescent="0.3">
      <c r="A4" s="20" t="s">
        <v>274</v>
      </c>
      <c r="B4" s="2" t="s">
        <v>54</v>
      </c>
      <c r="C4" s="2" t="s">
        <v>275</v>
      </c>
      <c r="D4" s="2" t="s">
        <v>276</v>
      </c>
      <c r="E4" s="2" t="s">
        <v>277</v>
      </c>
      <c r="F4" s="2" t="s">
        <v>278</v>
      </c>
      <c r="G4" s="2" t="s">
        <v>279</v>
      </c>
      <c r="H4" s="21" t="s">
        <v>100</v>
      </c>
      <c r="I4" s="21" t="s">
        <v>110</v>
      </c>
      <c r="J4" s="21" t="s">
        <v>102</v>
      </c>
      <c r="K4" s="22" t="s">
        <v>8</v>
      </c>
      <c r="L4" s="23" t="s">
        <v>280</v>
      </c>
    </row>
    <row r="5" spans="1:12" ht="43.2" x14ac:dyDescent="0.3">
      <c r="A5" s="20" t="s">
        <v>281</v>
      </c>
      <c r="B5" s="2" t="s">
        <v>54</v>
      </c>
      <c r="C5" s="2" t="s">
        <v>282</v>
      </c>
      <c r="D5" s="2" t="s">
        <v>283</v>
      </c>
      <c r="E5" s="2" t="s">
        <v>284</v>
      </c>
      <c r="F5" s="2" t="s">
        <v>285</v>
      </c>
      <c r="G5" s="2" t="s">
        <v>286</v>
      </c>
      <c r="H5" s="21" t="s">
        <v>10</v>
      </c>
      <c r="I5" s="21" t="s">
        <v>101</v>
      </c>
      <c r="J5" s="21" t="s">
        <v>102</v>
      </c>
      <c r="K5" s="22" t="s">
        <v>8</v>
      </c>
      <c r="L5" s="23" t="s">
        <v>287</v>
      </c>
    </row>
    <row r="6" spans="1:12" ht="28.8" x14ac:dyDescent="0.3">
      <c r="A6" s="20" t="s">
        <v>288</v>
      </c>
      <c r="B6" s="2" t="s">
        <v>54</v>
      </c>
      <c r="C6" s="2" t="s">
        <v>289</v>
      </c>
      <c r="D6" s="2" t="s">
        <v>290</v>
      </c>
      <c r="E6" s="2" t="s">
        <v>291</v>
      </c>
      <c r="F6" s="2" t="s">
        <v>292</v>
      </c>
      <c r="G6" s="2" t="s">
        <v>293</v>
      </c>
      <c r="H6" s="21" t="s">
        <v>139</v>
      </c>
      <c r="I6" s="21" t="s">
        <v>166</v>
      </c>
      <c r="J6" s="21" t="s">
        <v>167</v>
      </c>
      <c r="K6" s="22" t="s">
        <v>8</v>
      </c>
      <c r="L6" s="23" t="s">
        <v>294</v>
      </c>
    </row>
    <row r="7" spans="1:12" ht="43.2" x14ac:dyDescent="0.3">
      <c r="A7" s="20" t="s">
        <v>295</v>
      </c>
      <c r="B7" s="2" t="s">
        <v>54</v>
      </c>
      <c r="C7" s="2" t="s">
        <v>296</v>
      </c>
      <c r="D7" s="2" t="s">
        <v>297</v>
      </c>
      <c r="E7" s="2" t="s">
        <v>298</v>
      </c>
      <c r="F7" s="2" t="s">
        <v>299</v>
      </c>
      <c r="G7" s="2" t="s">
        <v>300</v>
      </c>
      <c r="H7" s="21" t="s">
        <v>10</v>
      </c>
      <c r="I7" s="21" t="s">
        <v>110</v>
      </c>
      <c r="J7" s="21" t="s">
        <v>167</v>
      </c>
      <c r="K7" s="22" t="s">
        <v>8</v>
      </c>
      <c r="L7" s="23" t="s">
        <v>301</v>
      </c>
    </row>
    <row r="8" spans="1:12" ht="28.8" x14ac:dyDescent="0.3">
      <c r="A8" s="20" t="s">
        <v>302</v>
      </c>
      <c r="B8" s="2" t="s">
        <v>54</v>
      </c>
      <c r="C8" s="2" t="s">
        <v>303</v>
      </c>
      <c r="D8" s="2" t="s">
        <v>304</v>
      </c>
      <c r="E8" s="2" t="s">
        <v>305</v>
      </c>
      <c r="F8" s="2" t="s">
        <v>306</v>
      </c>
      <c r="G8" s="2" t="s">
        <v>307</v>
      </c>
      <c r="H8" s="21" t="s">
        <v>10</v>
      </c>
      <c r="I8" s="21" t="s">
        <v>265</v>
      </c>
      <c r="J8" s="21" t="s">
        <v>167</v>
      </c>
      <c r="K8" s="22" t="s">
        <v>8</v>
      </c>
      <c r="L8" s="23" t="s">
        <v>308</v>
      </c>
    </row>
  </sheetData>
  <mergeCells count="1">
    <mergeCell ref="A1:L1"/>
  </mergeCells>
  <conditionalFormatting sqref="K3:K8">
    <cfRule type="expression" dxfId="27" priority="1">
      <formula>K3="Pass"</formula>
    </cfRule>
    <cfRule type="expression" dxfId="26" priority="2">
      <formula>K3="Fail"</formula>
    </cfRule>
    <cfRule type="expression" dxfId="25" priority="3">
      <formula>K3="Blocked"</formula>
    </cfRule>
    <cfRule type="expression" dxfId="24" priority="4">
      <formula>K3="Not Run"</formula>
    </cfRule>
  </conditionalFormatting>
  <dataValidations count="4">
    <dataValidation type="list" sqref="K3:K8" xr:uid="{00000000-0002-0000-0600-000000000000}">
      <formula1>"Not Run,Pass,Fail,Blocked"</formula1>
    </dataValidation>
    <dataValidation type="list" sqref="H3:H8" xr:uid="{00000000-0002-0000-0600-000001000000}">
      <formula1>"Critical,High,Medium,Low"</formula1>
    </dataValidation>
    <dataValidation type="list" sqref="I3:I8" xr:uid="{00000000-0002-0000-0600-000002000000}">
      <formula1>"Positive,Negative,Regression,Security,Integration,E2E,Usability"</formula1>
    </dataValidation>
    <dataValidation type="list" sqref="J3:J8" xr:uid="{00000000-0002-0000-0600-000003000000}">
      <formula1>"Yes,Later,No"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42" customWidth="1"/>
    <col min="4" max="4" width="28" customWidth="1"/>
    <col min="5" max="5" width="42" customWidth="1"/>
    <col min="6" max="6" width="24" customWidth="1"/>
    <col min="7" max="7" width="42" customWidth="1"/>
    <col min="8" max="8" width="12" customWidth="1"/>
    <col min="9" max="9" width="14" customWidth="1"/>
    <col min="10" max="10" width="20" customWidth="1"/>
    <col min="11" max="11" width="12" customWidth="1"/>
    <col min="12" max="12" width="24" customWidth="1"/>
  </cols>
  <sheetData>
    <row r="1" spans="1:12" ht="25.95" customHeight="1" x14ac:dyDescent="0.3">
      <c r="A1" s="3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8" x14ac:dyDescent="0.3">
      <c r="A2" s="7" t="s">
        <v>84</v>
      </c>
      <c r="B2" s="7" t="s">
        <v>40</v>
      </c>
      <c r="C2" s="7" t="s">
        <v>85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70</v>
      </c>
      <c r="L2" s="7" t="s">
        <v>93</v>
      </c>
    </row>
    <row r="3" spans="1:12" ht="43.2" x14ac:dyDescent="0.3">
      <c r="A3" s="20" t="s">
        <v>309</v>
      </c>
      <c r="B3" s="2" t="s">
        <v>56</v>
      </c>
      <c r="C3" s="2" t="s">
        <v>310</v>
      </c>
      <c r="D3" s="2" t="s">
        <v>247</v>
      </c>
      <c r="E3" s="2" t="s">
        <v>311</v>
      </c>
      <c r="F3" s="2" t="s">
        <v>312</v>
      </c>
      <c r="G3" s="2" t="s">
        <v>313</v>
      </c>
      <c r="H3" s="21" t="s">
        <v>100</v>
      </c>
      <c r="I3" s="21" t="s">
        <v>101</v>
      </c>
      <c r="J3" s="21" t="s">
        <v>102</v>
      </c>
      <c r="K3" s="22" t="s">
        <v>8</v>
      </c>
      <c r="L3" s="23" t="s">
        <v>314</v>
      </c>
    </row>
    <row r="4" spans="1:12" ht="28.8" x14ac:dyDescent="0.3">
      <c r="A4" s="20" t="s">
        <v>315</v>
      </c>
      <c r="B4" s="2" t="s">
        <v>56</v>
      </c>
      <c r="C4" s="2" t="s">
        <v>316</v>
      </c>
      <c r="D4" s="2" t="s">
        <v>283</v>
      </c>
      <c r="E4" s="2" t="s">
        <v>317</v>
      </c>
      <c r="F4" s="2" t="s">
        <v>318</v>
      </c>
      <c r="G4" s="2" t="s">
        <v>319</v>
      </c>
      <c r="H4" s="21" t="s">
        <v>10</v>
      </c>
      <c r="I4" s="21" t="s">
        <v>110</v>
      </c>
      <c r="J4" s="21" t="s">
        <v>102</v>
      </c>
      <c r="K4" s="22" t="s">
        <v>8</v>
      </c>
      <c r="L4" s="23" t="s">
        <v>320</v>
      </c>
    </row>
    <row r="5" spans="1:12" ht="43.2" x14ac:dyDescent="0.3">
      <c r="A5" s="20" t="s">
        <v>321</v>
      </c>
      <c r="B5" s="2" t="s">
        <v>56</v>
      </c>
      <c r="C5" s="2" t="s">
        <v>322</v>
      </c>
      <c r="D5" s="2" t="s">
        <v>283</v>
      </c>
      <c r="E5" s="2" t="s">
        <v>323</v>
      </c>
      <c r="F5" s="2" t="s">
        <v>324</v>
      </c>
      <c r="G5" s="2" t="s">
        <v>325</v>
      </c>
      <c r="H5" s="21" t="s">
        <v>10</v>
      </c>
      <c r="I5" s="21" t="s">
        <v>101</v>
      </c>
      <c r="J5" s="21" t="s">
        <v>102</v>
      </c>
      <c r="K5" s="22" t="s">
        <v>8</v>
      </c>
      <c r="L5" s="23" t="s">
        <v>326</v>
      </c>
    </row>
    <row r="6" spans="1:12" ht="28.8" x14ac:dyDescent="0.3">
      <c r="A6" s="20" t="s">
        <v>327</v>
      </c>
      <c r="B6" s="2" t="s">
        <v>56</v>
      </c>
      <c r="C6" s="2" t="s">
        <v>328</v>
      </c>
      <c r="D6" s="2" t="s">
        <v>329</v>
      </c>
      <c r="E6" s="2" t="s">
        <v>330</v>
      </c>
      <c r="F6" s="2" t="s">
        <v>331</v>
      </c>
      <c r="G6" s="2" t="s">
        <v>332</v>
      </c>
      <c r="H6" s="21" t="s">
        <v>10</v>
      </c>
      <c r="I6" s="21" t="s">
        <v>110</v>
      </c>
      <c r="J6" s="21" t="s">
        <v>102</v>
      </c>
      <c r="K6" s="22" t="s">
        <v>8</v>
      </c>
      <c r="L6" s="23" t="s">
        <v>333</v>
      </c>
    </row>
    <row r="7" spans="1:12" ht="43.2" x14ac:dyDescent="0.3">
      <c r="A7" s="20" t="s">
        <v>334</v>
      </c>
      <c r="B7" s="2" t="s">
        <v>56</v>
      </c>
      <c r="C7" s="2" t="s">
        <v>335</v>
      </c>
      <c r="D7" s="2" t="s">
        <v>283</v>
      </c>
      <c r="E7" s="2" t="s">
        <v>336</v>
      </c>
      <c r="F7" s="2" t="s">
        <v>337</v>
      </c>
      <c r="G7" s="2" t="s">
        <v>338</v>
      </c>
      <c r="H7" s="21" t="s">
        <v>10</v>
      </c>
      <c r="I7" s="21" t="s">
        <v>265</v>
      </c>
      <c r="J7" s="21" t="s">
        <v>167</v>
      </c>
      <c r="K7" s="22" t="s">
        <v>8</v>
      </c>
      <c r="L7" s="23" t="s">
        <v>339</v>
      </c>
    </row>
    <row r="8" spans="1:12" ht="28.8" x14ac:dyDescent="0.3">
      <c r="A8" s="20" t="s">
        <v>340</v>
      </c>
      <c r="B8" s="2" t="s">
        <v>56</v>
      </c>
      <c r="C8" s="2" t="s">
        <v>341</v>
      </c>
      <c r="D8" s="2" t="s">
        <v>342</v>
      </c>
      <c r="E8" s="2" t="s">
        <v>343</v>
      </c>
      <c r="F8" s="2" t="s">
        <v>344</v>
      </c>
      <c r="G8" s="2" t="s">
        <v>345</v>
      </c>
      <c r="H8" s="21" t="s">
        <v>139</v>
      </c>
      <c r="I8" s="21" t="s">
        <v>166</v>
      </c>
      <c r="J8" s="21" t="s">
        <v>167</v>
      </c>
      <c r="K8" s="22" t="s">
        <v>8</v>
      </c>
      <c r="L8" s="23" t="s">
        <v>346</v>
      </c>
    </row>
  </sheetData>
  <mergeCells count="1">
    <mergeCell ref="A1:L1"/>
  </mergeCells>
  <conditionalFormatting sqref="K3:K8">
    <cfRule type="expression" dxfId="23" priority="1">
      <formula>K3="Pass"</formula>
    </cfRule>
    <cfRule type="expression" dxfId="22" priority="2">
      <formula>K3="Fail"</formula>
    </cfRule>
    <cfRule type="expression" dxfId="21" priority="3">
      <formula>K3="Blocked"</formula>
    </cfRule>
    <cfRule type="expression" dxfId="20" priority="4">
      <formula>K3="Not Run"</formula>
    </cfRule>
  </conditionalFormatting>
  <dataValidations count="4">
    <dataValidation type="list" sqref="K3:K8" xr:uid="{00000000-0002-0000-0700-000000000000}">
      <formula1>"Not Run,Pass,Fail,Blocked"</formula1>
    </dataValidation>
    <dataValidation type="list" sqref="H3:H8" xr:uid="{00000000-0002-0000-0700-000001000000}">
      <formula1>"Critical,High,Medium,Low"</formula1>
    </dataValidation>
    <dataValidation type="list" sqref="I3:I8" xr:uid="{00000000-0002-0000-0700-000002000000}">
      <formula1>"Positive,Negative,Regression,Security,Integration,E2E,Usability"</formula1>
    </dataValidation>
    <dataValidation type="list" sqref="J3:J8" xr:uid="{00000000-0002-0000-0700-000003000000}">
      <formula1>"Yes,Later,No"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42" customWidth="1"/>
    <col min="4" max="4" width="28" customWidth="1"/>
    <col min="5" max="5" width="42" customWidth="1"/>
    <col min="6" max="6" width="24" customWidth="1"/>
    <col min="7" max="7" width="42" customWidth="1"/>
    <col min="8" max="8" width="12" customWidth="1"/>
    <col min="9" max="9" width="14" customWidth="1"/>
    <col min="10" max="10" width="20" customWidth="1"/>
    <col min="11" max="11" width="12" customWidth="1"/>
    <col min="12" max="12" width="24" customWidth="1"/>
  </cols>
  <sheetData>
    <row r="1" spans="1:12" ht="25.95" customHeight="1" x14ac:dyDescent="0.3">
      <c r="A1" s="3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8" x14ac:dyDescent="0.3">
      <c r="A2" s="7" t="s">
        <v>84</v>
      </c>
      <c r="B2" s="7" t="s">
        <v>40</v>
      </c>
      <c r="C2" s="7" t="s">
        <v>85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70</v>
      </c>
      <c r="L2" s="7" t="s">
        <v>93</v>
      </c>
    </row>
    <row r="3" spans="1:12" ht="43.2" x14ac:dyDescent="0.3">
      <c r="A3" s="20" t="s">
        <v>347</v>
      </c>
      <c r="B3" s="2" t="s">
        <v>58</v>
      </c>
      <c r="C3" s="2" t="s">
        <v>348</v>
      </c>
      <c r="D3" s="2" t="s">
        <v>349</v>
      </c>
      <c r="E3" s="2" t="s">
        <v>350</v>
      </c>
      <c r="F3" s="2" t="s">
        <v>351</v>
      </c>
      <c r="G3" s="2" t="s">
        <v>352</v>
      </c>
      <c r="H3" s="21" t="s">
        <v>100</v>
      </c>
      <c r="I3" s="21" t="s">
        <v>265</v>
      </c>
      <c r="J3" s="21" t="s">
        <v>167</v>
      </c>
      <c r="K3" s="22" t="s">
        <v>8</v>
      </c>
      <c r="L3" s="23" t="s">
        <v>353</v>
      </c>
    </row>
    <row r="4" spans="1:12" ht="43.2" x14ac:dyDescent="0.3">
      <c r="A4" s="20" t="s">
        <v>354</v>
      </c>
      <c r="B4" s="2" t="s">
        <v>58</v>
      </c>
      <c r="C4" s="2" t="s">
        <v>355</v>
      </c>
      <c r="D4" s="2" t="s">
        <v>233</v>
      </c>
      <c r="E4" s="2" t="s">
        <v>356</v>
      </c>
      <c r="F4" s="2" t="s">
        <v>357</v>
      </c>
      <c r="G4" s="2" t="s">
        <v>358</v>
      </c>
      <c r="H4" s="21" t="s">
        <v>10</v>
      </c>
      <c r="I4" s="21" t="s">
        <v>101</v>
      </c>
      <c r="J4" s="21" t="s">
        <v>167</v>
      </c>
      <c r="K4" s="22" t="s">
        <v>8</v>
      </c>
      <c r="L4" s="23" t="s">
        <v>359</v>
      </c>
    </row>
    <row r="5" spans="1:12" ht="28.8" x14ac:dyDescent="0.3">
      <c r="A5" s="20" t="s">
        <v>360</v>
      </c>
      <c r="B5" s="2" t="s">
        <v>58</v>
      </c>
      <c r="C5" s="2" t="s">
        <v>361</v>
      </c>
      <c r="D5" s="2" t="s">
        <v>362</v>
      </c>
      <c r="E5" s="2" t="s">
        <v>363</v>
      </c>
      <c r="F5" s="2" t="s">
        <v>364</v>
      </c>
      <c r="G5" s="2" t="s">
        <v>365</v>
      </c>
      <c r="H5" s="21" t="s">
        <v>10</v>
      </c>
      <c r="I5" s="21" t="s">
        <v>110</v>
      </c>
      <c r="J5" s="21" t="s">
        <v>102</v>
      </c>
      <c r="K5" s="22" t="s">
        <v>8</v>
      </c>
      <c r="L5" s="23" t="s">
        <v>366</v>
      </c>
    </row>
    <row r="6" spans="1:12" ht="28.8" x14ac:dyDescent="0.3">
      <c r="A6" s="20" t="s">
        <v>367</v>
      </c>
      <c r="B6" s="2" t="s">
        <v>58</v>
      </c>
      <c r="C6" s="2" t="s">
        <v>368</v>
      </c>
      <c r="D6" s="2" t="s">
        <v>369</v>
      </c>
      <c r="E6" s="2" t="s">
        <v>370</v>
      </c>
      <c r="F6" s="2" t="s">
        <v>371</v>
      </c>
      <c r="G6" s="2" t="s">
        <v>372</v>
      </c>
      <c r="H6" s="21" t="s">
        <v>139</v>
      </c>
      <c r="I6" s="21" t="s">
        <v>166</v>
      </c>
      <c r="J6" s="21" t="s">
        <v>167</v>
      </c>
      <c r="K6" s="22" t="s">
        <v>8</v>
      </c>
      <c r="L6" s="23" t="s">
        <v>373</v>
      </c>
    </row>
    <row r="7" spans="1:12" ht="43.2" x14ac:dyDescent="0.3">
      <c r="A7" s="20" t="s">
        <v>374</v>
      </c>
      <c r="B7" s="2" t="s">
        <v>58</v>
      </c>
      <c r="C7" s="2" t="s">
        <v>375</v>
      </c>
      <c r="D7" s="2" t="s">
        <v>376</v>
      </c>
      <c r="E7" s="2" t="s">
        <v>377</v>
      </c>
      <c r="F7" s="2" t="s">
        <v>235</v>
      </c>
      <c r="G7" s="2" t="s">
        <v>378</v>
      </c>
      <c r="H7" s="21" t="s">
        <v>100</v>
      </c>
      <c r="I7" s="21" t="s">
        <v>132</v>
      </c>
      <c r="J7" s="21" t="s">
        <v>167</v>
      </c>
      <c r="K7" s="22" t="s">
        <v>8</v>
      </c>
      <c r="L7" s="23" t="s">
        <v>379</v>
      </c>
    </row>
  </sheetData>
  <mergeCells count="1">
    <mergeCell ref="A1:L1"/>
  </mergeCells>
  <conditionalFormatting sqref="K3:K7">
    <cfRule type="expression" dxfId="19" priority="1">
      <formula>K3="Pass"</formula>
    </cfRule>
    <cfRule type="expression" dxfId="18" priority="2">
      <formula>K3="Fail"</formula>
    </cfRule>
    <cfRule type="expression" dxfId="17" priority="3">
      <formula>K3="Blocked"</formula>
    </cfRule>
    <cfRule type="expression" dxfId="16" priority="4">
      <formula>K3="Not Run"</formula>
    </cfRule>
  </conditionalFormatting>
  <dataValidations count="4">
    <dataValidation type="list" sqref="K3:K7" xr:uid="{00000000-0002-0000-0800-000000000000}">
      <formula1>"Not Run,Pass,Fail,Blocked"</formula1>
    </dataValidation>
    <dataValidation type="list" sqref="H3:H7" xr:uid="{00000000-0002-0000-0800-000001000000}">
      <formula1>"Critical,High,Medium,Low"</formula1>
    </dataValidation>
    <dataValidation type="list" sqref="I3:I7" xr:uid="{00000000-0002-0000-0800-000002000000}">
      <formula1>"Positive,Negative,Regression,Security,Integration,E2E,Usability"</formula1>
    </dataValidation>
    <dataValidation type="list" sqref="J3:J7" xr:uid="{00000000-0002-0000-0800-000003000000}">
      <formula1>"Yes,Later,No"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42" customWidth="1"/>
    <col min="4" max="4" width="28" customWidth="1"/>
    <col min="5" max="5" width="42" customWidth="1"/>
    <col min="6" max="6" width="24" customWidth="1"/>
    <col min="7" max="7" width="42" customWidth="1"/>
    <col min="8" max="8" width="12" customWidth="1"/>
    <col min="9" max="9" width="14" customWidth="1"/>
    <col min="10" max="10" width="20" customWidth="1"/>
    <col min="11" max="11" width="12" customWidth="1"/>
    <col min="12" max="12" width="24" customWidth="1"/>
  </cols>
  <sheetData>
    <row r="1" spans="1:12" ht="25.95" customHeight="1" x14ac:dyDescent="0.3">
      <c r="A1" s="3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8" x14ac:dyDescent="0.3">
      <c r="A2" s="7" t="s">
        <v>84</v>
      </c>
      <c r="B2" s="7" t="s">
        <v>40</v>
      </c>
      <c r="C2" s="7" t="s">
        <v>85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70</v>
      </c>
      <c r="L2" s="7" t="s">
        <v>93</v>
      </c>
    </row>
    <row r="3" spans="1:12" ht="43.2" x14ac:dyDescent="0.3">
      <c r="A3" s="20" t="s">
        <v>380</v>
      </c>
      <c r="B3" s="2" t="s">
        <v>60</v>
      </c>
      <c r="C3" s="2" t="s">
        <v>381</v>
      </c>
      <c r="D3" s="2" t="s">
        <v>382</v>
      </c>
      <c r="E3" s="2" t="s">
        <v>383</v>
      </c>
      <c r="F3" s="2" t="s">
        <v>384</v>
      </c>
      <c r="G3" s="2" t="s">
        <v>385</v>
      </c>
      <c r="H3" s="21" t="s">
        <v>10</v>
      </c>
      <c r="I3" s="21" t="s">
        <v>101</v>
      </c>
      <c r="J3" s="21" t="s">
        <v>102</v>
      </c>
      <c r="K3" s="22" t="s">
        <v>8</v>
      </c>
      <c r="L3" s="23" t="s">
        <v>386</v>
      </c>
    </row>
    <row r="4" spans="1:12" ht="28.8" x14ac:dyDescent="0.3">
      <c r="A4" s="20" t="s">
        <v>387</v>
      </c>
      <c r="B4" s="2" t="s">
        <v>60</v>
      </c>
      <c r="C4" s="2" t="s">
        <v>388</v>
      </c>
      <c r="D4" s="2" t="s">
        <v>389</v>
      </c>
      <c r="E4" s="2" t="s">
        <v>390</v>
      </c>
      <c r="F4" s="2" t="s">
        <v>391</v>
      </c>
      <c r="G4" s="2" t="s">
        <v>392</v>
      </c>
      <c r="H4" s="21" t="s">
        <v>100</v>
      </c>
      <c r="I4" s="21" t="s">
        <v>132</v>
      </c>
      <c r="J4" s="21" t="s">
        <v>167</v>
      </c>
      <c r="K4" s="22" t="s">
        <v>8</v>
      </c>
      <c r="L4" s="23" t="s">
        <v>393</v>
      </c>
    </row>
    <row r="5" spans="1:12" ht="28.8" x14ac:dyDescent="0.3">
      <c r="A5" s="20" t="s">
        <v>394</v>
      </c>
      <c r="B5" s="2" t="s">
        <v>60</v>
      </c>
      <c r="C5" s="2" t="s">
        <v>395</v>
      </c>
      <c r="D5" s="2" t="s">
        <v>396</v>
      </c>
      <c r="E5" s="2" t="s">
        <v>397</v>
      </c>
      <c r="F5" s="2" t="s">
        <v>398</v>
      </c>
      <c r="G5" s="2" t="s">
        <v>399</v>
      </c>
      <c r="H5" s="21" t="s">
        <v>100</v>
      </c>
      <c r="I5" s="21" t="s">
        <v>110</v>
      </c>
      <c r="J5" s="21" t="s">
        <v>102</v>
      </c>
      <c r="K5" s="22" t="s">
        <v>8</v>
      </c>
      <c r="L5" s="23" t="s">
        <v>400</v>
      </c>
    </row>
    <row r="6" spans="1:12" ht="28.8" x14ac:dyDescent="0.3">
      <c r="A6" s="20" t="s">
        <v>401</v>
      </c>
      <c r="B6" s="2" t="s">
        <v>60</v>
      </c>
      <c r="C6" s="2" t="s">
        <v>402</v>
      </c>
      <c r="D6" s="2" t="s">
        <v>403</v>
      </c>
      <c r="E6" s="2" t="s">
        <v>404</v>
      </c>
      <c r="F6" s="2" t="s">
        <v>405</v>
      </c>
      <c r="G6" s="2" t="s">
        <v>406</v>
      </c>
      <c r="H6" s="21" t="s">
        <v>10</v>
      </c>
      <c r="I6" s="21" t="s">
        <v>132</v>
      </c>
      <c r="J6" s="21" t="s">
        <v>167</v>
      </c>
      <c r="K6" s="22" t="s">
        <v>8</v>
      </c>
      <c r="L6" s="23" t="s">
        <v>407</v>
      </c>
    </row>
    <row r="7" spans="1:12" ht="43.2" x14ac:dyDescent="0.3">
      <c r="A7" s="20" t="s">
        <v>408</v>
      </c>
      <c r="B7" s="2" t="s">
        <v>60</v>
      </c>
      <c r="C7" s="2" t="s">
        <v>409</v>
      </c>
      <c r="D7" s="2" t="s">
        <v>410</v>
      </c>
      <c r="E7" s="2" t="s">
        <v>411</v>
      </c>
      <c r="F7" s="2" t="s">
        <v>412</v>
      </c>
      <c r="G7" s="2" t="s">
        <v>413</v>
      </c>
      <c r="H7" s="21" t="s">
        <v>100</v>
      </c>
      <c r="I7" s="21" t="s">
        <v>132</v>
      </c>
      <c r="J7" s="21" t="s">
        <v>102</v>
      </c>
      <c r="K7" s="22" t="s">
        <v>8</v>
      </c>
      <c r="L7" s="23" t="s">
        <v>414</v>
      </c>
    </row>
    <row r="8" spans="1:12" ht="28.8" x14ac:dyDescent="0.3">
      <c r="A8" s="20" t="s">
        <v>415</v>
      </c>
      <c r="B8" s="2" t="s">
        <v>60</v>
      </c>
      <c r="C8" s="2" t="s">
        <v>416</v>
      </c>
      <c r="D8" s="2" t="s">
        <v>417</v>
      </c>
      <c r="E8" s="2" t="s">
        <v>418</v>
      </c>
      <c r="F8" s="2" t="s">
        <v>419</v>
      </c>
      <c r="G8" s="2" t="s">
        <v>420</v>
      </c>
      <c r="H8" s="21" t="s">
        <v>139</v>
      </c>
      <c r="I8" s="21" t="s">
        <v>110</v>
      </c>
      <c r="J8" s="21" t="s">
        <v>167</v>
      </c>
      <c r="K8" s="22" t="s">
        <v>8</v>
      </c>
      <c r="L8" s="23" t="s">
        <v>421</v>
      </c>
    </row>
  </sheetData>
  <mergeCells count="1">
    <mergeCell ref="A1:L1"/>
  </mergeCells>
  <conditionalFormatting sqref="K3:K8">
    <cfRule type="expression" dxfId="15" priority="1">
      <formula>K3="Pass"</formula>
    </cfRule>
    <cfRule type="expression" dxfId="14" priority="2">
      <formula>K3="Fail"</formula>
    </cfRule>
    <cfRule type="expression" dxfId="13" priority="3">
      <formula>K3="Blocked"</formula>
    </cfRule>
    <cfRule type="expression" dxfId="12" priority="4">
      <formula>K3="Not Run"</formula>
    </cfRule>
  </conditionalFormatting>
  <dataValidations count="4">
    <dataValidation type="list" sqref="K3:K8" xr:uid="{00000000-0002-0000-0900-000000000000}">
      <formula1>"Not Run,Pass,Fail,Blocked"</formula1>
    </dataValidation>
    <dataValidation type="list" sqref="H3:H8" xr:uid="{00000000-0002-0000-0900-000001000000}">
      <formula1>"Critical,High,Medium,Low"</formula1>
    </dataValidation>
    <dataValidation type="list" sqref="I3:I8" xr:uid="{00000000-0002-0000-0900-000002000000}">
      <formula1>"Positive,Negative,Regression,Security,Integration,E2E,Usability"</formula1>
    </dataValidation>
    <dataValidation type="list" sqref="J3:J8" xr:uid="{00000000-0002-0000-0900-000003000000}">
      <formula1>"Yes,Later,No"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42" customWidth="1"/>
    <col min="4" max="4" width="28" customWidth="1"/>
    <col min="5" max="5" width="42" customWidth="1"/>
    <col min="6" max="6" width="24" customWidth="1"/>
    <col min="7" max="7" width="42" customWidth="1"/>
    <col min="8" max="8" width="12" customWidth="1"/>
    <col min="9" max="9" width="14" customWidth="1"/>
    <col min="10" max="10" width="20" customWidth="1"/>
    <col min="11" max="11" width="12" customWidth="1"/>
    <col min="12" max="12" width="24" customWidth="1"/>
  </cols>
  <sheetData>
    <row r="1" spans="1:12" ht="25.95" customHeight="1" x14ac:dyDescent="0.3">
      <c r="A1" s="3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8" x14ac:dyDescent="0.3">
      <c r="A2" s="7" t="s">
        <v>84</v>
      </c>
      <c r="B2" s="7" t="s">
        <v>40</v>
      </c>
      <c r="C2" s="7" t="s">
        <v>85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70</v>
      </c>
      <c r="L2" s="7" t="s">
        <v>93</v>
      </c>
    </row>
    <row r="3" spans="1:12" ht="28.8" x14ac:dyDescent="0.3">
      <c r="A3" s="20" t="s">
        <v>422</v>
      </c>
      <c r="B3" s="2" t="s">
        <v>62</v>
      </c>
      <c r="C3" s="2" t="s">
        <v>423</v>
      </c>
      <c r="D3" s="2" t="s">
        <v>121</v>
      </c>
      <c r="E3" s="2" t="s">
        <v>424</v>
      </c>
      <c r="F3" s="2" t="s">
        <v>425</v>
      </c>
      <c r="G3" s="2" t="s">
        <v>426</v>
      </c>
      <c r="H3" s="21" t="s">
        <v>10</v>
      </c>
      <c r="I3" s="21" t="s">
        <v>101</v>
      </c>
      <c r="J3" s="21" t="s">
        <v>102</v>
      </c>
      <c r="K3" s="22" t="s">
        <v>8</v>
      </c>
      <c r="L3" s="23" t="s">
        <v>427</v>
      </c>
    </row>
    <row r="4" spans="1:12" ht="28.8" x14ac:dyDescent="0.3">
      <c r="A4" s="20" t="s">
        <v>428</v>
      </c>
      <c r="B4" s="2" t="s">
        <v>62</v>
      </c>
      <c r="C4" s="2" t="s">
        <v>429</v>
      </c>
      <c r="D4" s="2" t="s">
        <v>121</v>
      </c>
      <c r="E4" s="2" t="s">
        <v>430</v>
      </c>
      <c r="F4" s="2" t="s">
        <v>431</v>
      </c>
      <c r="G4" s="2" t="s">
        <v>432</v>
      </c>
      <c r="H4" s="21" t="s">
        <v>139</v>
      </c>
      <c r="I4" s="21" t="s">
        <v>229</v>
      </c>
      <c r="J4" s="21" t="s">
        <v>102</v>
      </c>
      <c r="K4" s="22" t="s">
        <v>8</v>
      </c>
      <c r="L4" s="23" t="s">
        <v>433</v>
      </c>
    </row>
    <row r="5" spans="1:12" ht="28.8" x14ac:dyDescent="0.3">
      <c r="A5" s="20" t="s">
        <v>434</v>
      </c>
      <c r="B5" s="2" t="s">
        <v>62</v>
      </c>
      <c r="C5" s="2" t="s">
        <v>435</v>
      </c>
      <c r="D5" s="2" t="s">
        <v>436</v>
      </c>
      <c r="E5" s="2" t="s">
        <v>437</v>
      </c>
      <c r="F5" s="2" t="s">
        <v>438</v>
      </c>
      <c r="G5" s="2" t="s">
        <v>439</v>
      </c>
      <c r="H5" s="21" t="s">
        <v>10</v>
      </c>
      <c r="I5" s="21" t="s">
        <v>166</v>
      </c>
      <c r="J5" s="21" t="s">
        <v>167</v>
      </c>
      <c r="K5" s="22" t="s">
        <v>8</v>
      </c>
      <c r="L5" s="23" t="s">
        <v>440</v>
      </c>
    </row>
    <row r="6" spans="1:12" ht="43.2" x14ac:dyDescent="0.3">
      <c r="A6" s="20" t="s">
        <v>441</v>
      </c>
      <c r="B6" s="2" t="s">
        <v>62</v>
      </c>
      <c r="C6" s="2" t="s">
        <v>442</v>
      </c>
      <c r="D6" s="2" t="s">
        <v>443</v>
      </c>
      <c r="E6" s="2" t="s">
        <v>444</v>
      </c>
      <c r="F6" s="2" t="s">
        <v>445</v>
      </c>
      <c r="G6" s="2" t="s">
        <v>446</v>
      </c>
      <c r="H6" s="21" t="s">
        <v>139</v>
      </c>
      <c r="I6" s="21" t="s">
        <v>110</v>
      </c>
      <c r="J6" s="21" t="s">
        <v>167</v>
      </c>
      <c r="K6" s="22" t="s">
        <v>8</v>
      </c>
      <c r="L6" s="23" t="s">
        <v>447</v>
      </c>
    </row>
    <row r="7" spans="1:12" ht="28.8" x14ac:dyDescent="0.3">
      <c r="A7" s="20" t="s">
        <v>448</v>
      </c>
      <c r="B7" s="2" t="s">
        <v>62</v>
      </c>
      <c r="C7" s="2" t="s">
        <v>449</v>
      </c>
      <c r="D7" s="2" t="s">
        <v>121</v>
      </c>
      <c r="E7" s="2" t="s">
        <v>450</v>
      </c>
      <c r="F7" s="2" t="s">
        <v>451</v>
      </c>
      <c r="G7" s="2" t="s">
        <v>452</v>
      </c>
      <c r="H7" s="21" t="s">
        <v>10</v>
      </c>
      <c r="I7" s="21" t="s">
        <v>101</v>
      </c>
      <c r="J7" s="21" t="s">
        <v>167</v>
      </c>
      <c r="K7" s="22" t="s">
        <v>8</v>
      </c>
      <c r="L7" s="23" t="s">
        <v>453</v>
      </c>
    </row>
  </sheetData>
  <mergeCells count="1">
    <mergeCell ref="A1:L1"/>
  </mergeCells>
  <conditionalFormatting sqref="K3:K7">
    <cfRule type="expression" dxfId="11" priority="1">
      <formula>K3="Pass"</formula>
    </cfRule>
    <cfRule type="expression" dxfId="10" priority="2">
      <formula>K3="Fail"</formula>
    </cfRule>
    <cfRule type="expression" dxfId="9" priority="3">
      <formula>K3="Blocked"</formula>
    </cfRule>
    <cfRule type="expression" dxfId="8" priority="4">
      <formula>K3="Not Run"</formula>
    </cfRule>
  </conditionalFormatting>
  <dataValidations count="4">
    <dataValidation type="list" sqref="K3:K7" xr:uid="{00000000-0002-0000-0A00-000000000000}">
      <formula1>"Not Run,Pass,Fail,Blocked"</formula1>
    </dataValidation>
    <dataValidation type="list" sqref="H3:H7" xr:uid="{00000000-0002-0000-0A00-000001000000}">
      <formula1>"Critical,High,Medium,Low"</formula1>
    </dataValidation>
    <dataValidation type="list" sqref="I3:I7" xr:uid="{00000000-0002-0000-0A00-000002000000}">
      <formula1>"Positive,Negative,Regression,Security,Integration,E2E,Usability"</formula1>
    </dataValidation>
    <dataValidation type="list" sqref="J3:J7" xr:uid="{00000000-0002-0000-0A00-000003000000}">
      <formula1>"Yes,Later,No"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42" customWidth="1"/>
    <col min="4" max="4" width="28" customWidth="1"/>
    <col min="5" max="5" width="42" customWidth="1"/>
    <col min="6" max="6" width="24" customWidth="1"/>
    <col min="7" max="7" width="42" customWidth="1"/>
    <col min="8" max="8" width="12" customWidth="1"/>
    <col min="9" max="9" width="14" customWidth="1"/>
    <col min="10" max="10" width="20" customWidth="1"/>
    <col min="11" max="11" width="12" customWidth="1"/>
    <col min="12" max="12" width="24" customWidth="1"/>
  </cols>
  <sheetData>
    <row r="1" spans="1:12" ht="25.95" customHeight="1" x14ac:dyDescent="0.3">
      <c r="A1" s="3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8" x14ac:dyDescent="0.3">
      <c r="A2" s="7" t="s">
        <v>84</v>
      </c>
      <c r="B2" s="7" t="s">
        <v>40</v>
      </c>
      <c r="C2" s="7" t="s">
        <v>85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70</v>
      </c>
      <c r="L2" s="7" t="s">
        <v>93</v>
      </c>
    </row>
    <row r="3" spans="1:12" ht="28.8" x14ac:dyDescent="0.3">
      <c r="A3" s="20" t="s">
        <v>454</v>
      </c>
      <c r="B3" s="2" t="s">
        <v>64</v>
      </c>
      <c r="C3" s="2" t="s">
        <v>455</v>
      </c>
      <c r="D3" s="2" t="s">
        <v>150</v>
      </c>
      <c r="E3" s="2" t="s">
        <v>456</v>
      </c>
      <c r="F3" s="2" t="s">
        <v>457</v>
      </c>
      <c r="G3" s="2" t="s">
        <v>458</v>
      </c>
      <c r="H3" s="21" t="s">
        <v>139</v>
      </c>
      <c r="I3" s="21" t="s">
        <v>229</v>
      </c>
      <c r="J3" s="21" t="s">
        <v>459</v>
      </c>
      <c r="K3" s="22" t="s">
        <v>8</v>
      </c>
      <c r="L3" s="23" t="s">
        <v>460</v>
      </c>
    </row>
    <row r="4" spans="1:12" ht="28.8" x14ac:dyDescent="0.3">
      <c r="A4" s="20" t="s">
        <v>461</v>
      </c>
      <c r="B4" s="2" t="s">
        <v>64</v>
      </c>
      <c r="C4" s="2" t="s">
        <v>462</v>
      </c>
      <c r="D4" s="2" t="s">
        <v>463</v>
      </c>
      <c r="E4" s="2" t="s">
        <v>464</v>
      </c>
      <c r="F4" s="2" t="s">
        <v>465</v>
      </c>
      <c r="G4" s="2" t="s">
        <v>466</v>
      </c>
      <c r="H4" s="21" t="s">
        <v>10</v>
      </c>
      <c r="I4" s="21" t="s">
        <v>229</v>
      </c>
      <c r="J4" s="21" t="s">
        <v>102</v>
      </c>
      <c r="K4" s="22" t="s">
        <v>8</v>
      </c>
      <c r="L4" s="23" t="s">
        <v>467</v>
      </c>
    </row>
    <row r="5" spans="1:12" ht="28.8" x14ac:dyDescent="0.3">
      <c r="A5" s="20" t="s">
        <v>468</v>
      </c>
      <c r="B5" s="2" t="s">
        <v>64</v>
      </c>
      <c r="C5" s="2" t="s">
        <v>469</v>
      </c>
      <c r="D5" s="2" t="s">
        <v>470</v>
      </c>
      <c r="E5" s="2" t="s">
        <v>471</v>
      </c>
      <c r="F5" s="2" t="s">
        <v>472</v>
      </c>
      <c r="G5" s="2" t="s">
        <v>473</v>
      </c>
      <c r="H5" s="21" t="s">
        <v>139</v>
      </c>
      <c r="I5" s="21" t="s">
        <v>166</v>
      </c>
      <c r="J5" s="21" t="s">
        <v>167</v>
      </c>
      <c r="K5" s="22" t="s">
        <v>8</v>
      </c>
      <c r="L5" s="23" t="s">
        <v>474</v>
      </c>
    </row>
    <row r="6" spans="1:12" ht="43.2" x14ac:dyDescent="0.3">
      <c r="A6" s="20" t="s">
        <v>475</v>
      </c>
      <c r="B6" s="2" t="s">
        <v>64</v>
      </c>
      <c r="C6" s="2" t="s">
        <v>476</v>
      </c>
      <c r="D6" s="2" t="s">
        <v>477</v>
      </c>
      <c r="E6" s="2" t="s">
        <v>478</v>
      </c>
      <c r="F6" s="2" t="s">
        <v>479</v>
      </c>
      <c r="G6" s="2" t="s">
        <v>480</v>
      </c>
      <c r="H6" s="21" t="s">
        <v>10</v>
      </c>
      <c r="I6" s="21" t="s">
        <v>110</v>
      </c>
      <c r="J6" s="21" t="s">
        <v>167</v>
      </c>
      <c r="K6" s="22" t="s">
        <v>8</v>
      </c>
      <c r="L6" s="23" t="s">
        <v>481</v>
      </c>
    </row>
  </sheetData>
  <mergeCells count="1">
    <mergeCell ref="A1:L1"/>
  </mergeCells>
  <conditionalFormatting sqref="K3:K6">
    <cfRule type="expression" dxfId="7" priority="1">
      <formula>K3="Pass"</formula>
    </cfRule>
    <cfRule type="expression" dxfId="6" priority="2">
      <formula>K3="Fail"</formula>
    </cfRule>
    <cfRule type="expression" dxfId="5" priority="3">
      <formula>K3="Blocked"</formula>
    </cfRule>
    <cfRule type="expression" dxfId="4" priority="4">
      <formula>K3="Not Run"</formula>
    </cfRule>
  </conditionalFormatting>
  <dataValidations count="4">
    <dataValidation type="list" sqref="K3:K6" xr:uid="{00000000-0002-0000-0B00-000000000000}">
      <formula1>"Not Run,Pass,Fail,Blocked"</formula1>
    </dataValidation>
    <dataValidation type="list" sqref="H3:H6" xr:uid="{00000000-0002-0000-0B00-000001000000}">
      <formula1>"Critical,High,Medium,Low"</formula1>
    </dataValidation>
    <dataValidation type="list" sqref="I3:I6" xr:uid="{00000000-0002-0000-0B00-000002000000}">
      <formula1>"Positive,Negative,Regression,Security,Integration,E2E,Usability"</formula1>
    </dataValidation>
    <dataValidation type="list" sqref="J3:J6" xr:uid="{00000000-0002-0000-0B00-000003000000}">
      <formula1>"Yes,Later,No"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6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42" customWidth="1"/>
    <col min="4" max="4" width="28" customWidth="1"/>
    <col min="5" max="5" width="42" customWidth="1"/>
    <col min="6" max="6" width="24" customWidth="1"/>
    <col min="7" max="7" width="42" customWidth="1"/>
    <col min="8" max="8" width="12" customWidth="1"/>
    <col min="9" max="9" width="14" customWidth="1"/>
    <col min="10" max="10" width="20" customWidth="1"/>
    <col min="11" max="11" width="12" customWidth="1"/>
    <col min="12" max="12" width="24" customWidth="1"/>
  </cols>
  <sheetData>
    <row r="1" spans="1:12" ht="25.95" customHeight="1" x14ac:dyDescent="0.3">
      <c r="A1" s="3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8" x14ac:dyDescent="0.3">
      <c r="A2" s="7" t="s">
        <v>84</v>
      </c>
      <c r="B2" s="7" t="s">
        <v>40</v>
      </c>
      <c r="C2" s="7" t="s">
        <v>85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70</v>
      </c>
      <c r="L2" s="7" t="s">
        <v>93</v>
      </c>
    </row>
    <row r="3" spans="1:12" ht="43.2" x14ac:dyDescent="0.3">
      <c r="A3" s="20" t="s">
        <v>482</v>
      </c>
      <c r="B3" s="2" t="s">
        <v>66</v>
      </c>
      <c r="C3" s="2" t="s">
        <v>483</v>
      </c>
      <c r="D3" s="2" t="s">
        <v>484</v>
      </c>
      <c r="E3" s="2" t="s">
        <v>485</v>
      </c>
      <c r="F3" s="2" t="s">
        <v>486</v>
      </c>
      <c r="G3" s="2" t="s">
        <v>487</v>
      </c>
      <c r="H3" s="21" t="s">
        <v>100</v>
      </c>
      <c r="I3" s="21" t="s">
        <v>488</v>
      </c>
      <c r="J3" s="21" t="s">
        <v>167</v>
      </c>
      <c r="K3" s="22" t="s">
        <v>8</v>
      </c>
      <c r="L3" s="23" t="s">
        <v>489</v>
      </c>
    </row>
    <row r="4" spans="1:12" ht="57.6" x14ac:dyDescent="0.3">
      <c r="A4" s="20" t="s">
        <v>490</v>
      </c>
      <c r="B4" s="2" t="s">
        <v>66</v>
      </c>
      <c r="C4" s="2" t="s">
        <v>491</v>
      </c>
      <c r="D4" s="2" t="s">
        <v>492</v>
      </c>
      <c r="E4" s="2" t="s">
        <v>493</v>
      </c>
      <c r="F4" s="2" t="s">
        <v>494</v>
      </c>
      <c r="G4" s="2" t="s">
        <v>495</v>
      </c>
      <c r="H4" s="21" t="s">
        <v>100</v>
      </c>
      <c r="I4" s="21" t="s">
        <v>488</v>
      </c>
      <c r="J4" s="21" t="s">
        <v>167</v>
      </c>
      <c r="K4" s="22" t="s">
        <v>8</v>
      </c>
      <c r="L4" s="23" t="s">
        <v>496</v>
      </c>
    </row>
    <row r="5" spans="1:12" ht="57.6" x14ac:dyDescent="0.3">
      <c r="A5" s="20" t="s">
        <v>497</v>
      </c>
      <c r="B5" s="2" t="s">
        <v>66</v>
      </c>
      <c r="C5" s="2" t="s">
        <v>498</v>
      </c>
      <c r="D5" s="2" t="s">
        <v>283</v>
      </c>
      <c r="E5" s="2" t="s">
        <v>499</v>
      </c>
      <c r="F5" s="2" t="s">
        <v>500</v>
      </c>
      <c r="G5" s="2" t="s">
        <v>501</v>
      </c>
      <c r="H5" s="21" t="s">
        <v>100</v>
      </c>
      <c r="I5" s="21" t="s">
        <v>488</v>
      </c>
      <c r="J5" s="21" t="s">
        <v>167</v>
      </c>
      <c r="K5" s="22" t="s">
        <v>8</v>
      </c>
      <c r="L5" s="23" t="s">
        <v>502</v>
      </c>
    </row>
    <row r="6" spans="1:12" ht="57.6" x14ac:dyDescent="0.3">
      <c r="A6" s="20" t="s">
        <v>503</v>
      </c>
      <c r="B6" s="2" t="s">
        <v>66</v>
      </c>
      <c r="C6" s="2" t="s">
        <v>504</v>
      </c>
      <c r="D6" s="2" t="s">
        <v>505</v>
      </c>
      <c r="E6" s="2" t="s">
        <v>506</v>
      </c>
      <c r="F6" s="2" t="s">
        <v>507</v>
      </c>
      <c r="G6" s="2" t="s">
        <v>508</v>
      </c>
      <c r="H6" s="21" t="s">
        <v>100</v>
      </c>
      <c r="I6" s="21" t="s">
        <v>488</v>
      </c>
      <c r="J6" s="21" t="s">
        <v>167</v>
      </c>
      <c r="K6" s="22" t="s">
        <v>8</v>
      </c>
      <c r="L6" s="23" t="s">
        <v>509</v>
      </c>
    </row>
  </sheetData>
  <mergeCells count="1">
    <mergeCell ref="A1:L1"/>
  </mergeCells>
  <conditionalFormatting sqref="K3:K6">
    <cfRule type="expression" dxfId="3" priority="1">
      <formula>K3="Pass"</formula>
    </cfRule>
    <cfRule type="expression" dxfId="2" priority="2">
      <formula>K3="Fail"</formula>
    </cfRule>
    <cfRule type="expression" dxfId="1" priority="3">
      <formula>K3="Blocked"</formula>
    </cfRule>
    <cfRule type="expression" dxfId="0" priority="4">
      <formula>K3="Not Run"</formula>
    </cfRule>
  </conditionalFormatting>
  <dataValidations count="4">
    <dataValidation type="list" sqref="K3:K6" xr:uid="{00000000-0002-0000-0C00-000000000000}">
      <formula1>"Not Run,Pass,Fail,Blocked"</formula1>
    </dataValidation>
    <dataValidation type="list" sqref="H3:H6" xr:uid="{00000000-0002-0000-0C00-000001000000}">
      <formula1>"Critical,High,Medium,Low"</formula1>
    </dataValidation>
    <dataValidation type="list" sqref="I3:I6" xr:uid="{00000000-0002-0000-0C00-000002000000}">
      <formula1>"Positive,Negative,Regression,Security,Integration,E2E,Usability"</formula1>
    </dataValidation>
    <dataValidation type="list" sqref="J3:J6" xr:uid="{00000000-0002-0000-0C00-000003000000}">
      <formula1>"Yes,Later,No"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2d5684-10a2-4364-952f-c78858d41697}" enabled="1" method="Standard" siteId="{4a3454a0-8cf4-4a9c-b1c0-6ce4d1495f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Summary</vt:lpstr>
      <vt:lpstr>10_Authentication</vt:lpstr>
      <vt:lpstr>20_Patient_Registration</vt:lpstr>
      <vt:lpstr>30_Patient_Search</vt:lpstr>
      <vt:lpstr>40_Patient_Dashboard</vt:lpstr>
      <vt:lpstr>50_Visit_Management</vt:lpstr>
      <vt:lpstr>60_Vitals_Clinical_Notes</vt:lpstr>
      <vt:lpstr>70_Data_Validation</vt:lpstr>
      <vt:lpstr>80_Security_Access</vt:lpstr>
      <vt:lpstr>90_Admin_Reporting</vt:lpstr>
      <vt:lpstr>100_Usability_Error_Handling</vt:lpstr>
      <vt:lpstr>110_E2E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Tan, RamonJr</cp:lastModifiedBy>
  <dcterms:modified xsi:type="dcterms:W3CDTF">2026-03-26T04:50:47Z</dcterms:modified>
</cp:coreProperties>
</file>